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scritorio\"/>
    </mc:Choice>
  </mc:AlternateContent>
  <xr:revisionPtr revIDLastSave="0" documentId="8_{661F549D-41E1-4F79-A074-4FDDDAAD557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rpapelcorp" sheetId="1" r:id="rId1"/>
  </sheets>
  <definedNames>
    <definedName name="_xlnm.Print_Titles" localSheetId="0">Surpapelcorp!$1:$4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2" i="1" l="1"/>
</calcChain>
</file>

<file path=xl/sharedStrings.xml><?xml version="1.0" encoding="utf-8"?>
<sst xmlns="http://schemas.openxmlformats.org/spreadsheetml/2006/main" count="194" uniqueCount="80">
  <si>
    <t>Antigüedad cobros</t>
  </si>
  <si>
    <t/>
  </si>
  <si>
    <t>Fecha registro</t>
  </si>
  <si>
    <t>Tipo documento</t>
  </si>
  <si>
    <t>Fecha vencimiento</t>
  </si>
  <si>
    <t xml:space="preserve">Importe inicial </t>
  </si>
  <si>
    <t>Saldo</t>
  </si>
  <si>
    <t>No vencido</t>
  </si>
  <si>
    <t>1 - 30 días</t>
  </si>
  <si>
    <t>31 - 60 días</t>
  </si>
  <si>
    <t>61 - 90 días</t>
  </si>
  <si>
    <r>
      <rPr>
        <b/>
        <sz val="8"/>
        <color rgb="FF000000"/>
        <rFont val="Segoe UI"/>
        <family val="2"/>
      </rPr>
      <t>CLTE-T-000071</t>
    </r>
    <r>
      <rPr>
        <b/>
        <sz val="8"/>
        <color rgb="FF000000"/>
        <rFont val="Segoe UI"/>
        <family val="2"/>
      </rPr>
      <t xml:space="preserve"> - </t>
    </r>
    <r>
      <rPr>
        <b/>
        <sz val="8"/>
        <color rgb="FF000000"/>
        <rFont val="Segoe UI"/>
        <family val="2"/>
      </rPr>
      <t>SURPAPELCORP S.A</t>
    </r>
  </si>
  <si>
    <t>04/05/26</t>
  </si>
  <si>
    <t>Factura</t>
  </si>
  <si>
    <t>001005000003231</t>
  </si>
  <si>
    <t>03/06/26</t>
  </si>
  <si>
    <t>001005000003232</t>
  </si>
  <si>
    <t>001005000003236</t>
  </si>
  <si>
    <t>001005000003237</t>
  </si>
  <si>
    <t>001005000003241</t>
  </si>
  <si>
    <t>001005000003242</t>
  </si>
  <si>
    <t>20/05/26</t>
  </si>
  <si>
    <t>001005000003747</t>
  </si>
  <si>
    <t>19/06/26</t>
  </si>
  <si>
    <t>001005000003748</t>
  </si>
  <si>
    <t>001005000003752</t>
  </si>
  <si>
    <t>001005000003753</t>
  </si>
  <si>
    <t>15/06/26</t>
  </si>
  <si>
    <t>001005000004461</t>
  </si>
  <si>
    <t>15/07/26</t>
  </si>
  <si>
    <t>001005000004462</t>
  </si>
  <si>
    <t>001005000004468</t>
  </si>
  <si>
    <t>001005000004469</t>
  </si>
  <si>
    <t>001005000004473</t>
  </si>
  <si>
    <t>001005000004474</t>
  </si>
  <si>
    <t>16/07/26</t>
  </si>
  <si>
    <t>001005000005650</t>
  </si>
  <si>
    <t>15/08/26</t>
  </si>
  <si>
    <t>001005000005651</t>
  </si>
  <si>
    <t>001005000005656</t>
  </si>
  <si>
    <t>001005000005675</t>
  </si>
  <si>
    <t>20/07/26</t>
  </si>
  <si>
    <t>001005000005764</t>
  </si>
  <si>
    <t>19/08/26</t>
  </si>
  <si>
    <t>001005000005765</t>
  </si>
  <si>
    <t>001005000005769</t>
  </si>
  <si>
    <t>001005000005770</t>
  </si>
  <si>
    <t>001005000005775</t>
  </si>
  <si>
    <t>001005000005776</t>
  </si>
  <si>
    <t>26/08/26</t>
  </si>
  <si>
    <t>001005000007086</t>
  </si>
  <si>
    <t>25/09/26</t>
  </si>
  <si>
    <t>001005000007087</t>
  </si>
  <si>
    <t>001005000007091</t>
  </si>
  <si>
    <t>001005000007092</t>
  </si>
  <si>
    <t>001005000007098</t>
  </si>
  <si>
    <t>001005000007099</t>
  </si>
  <si>
    <t>001005000007105</t>
  </si>
  <si>
    <t>001005000007106</t>
  </si>
  <si>
    <t>001005000007112</t>
  </si>
  <si>
    <t>001005000007113</t>
  </si>
  <si>
    <t>001005000007146</t>
  </si>
  <si>
    <t>001005000007147</t>
  </si>
  <si>
    <t>04/09/26</t>
  </si>
  <si>
    <t>001005000007380</t>
  </si>
  <si>
    <t>04/10/26</t>
  </si>
  <si>
    <t>001005000007381</t>
  </si>
  <si>
    <t>11/09/26</t>
  </si>
  <si>
    <t>001005000007584</t>
  </si>
  <si>
    <t>11/10/26</t>
  </si>
  <si>
    <t>001005000007585</t>
  </si>
  <si>
    <t>16/09/26</t>
  </si>
  <si>
    <t>001005000007763</t>
  </si>
  <si>
    <t>16/10/26</t>
  </si>
  <si>
    <t>001005000007764</t>
  </si>
  <si>
    <t>Total para SURPAPELCORP S.A</t>
  </si>
  <si>
    <t>&gt; 90 días</t>
  </si>
  <si>
    <t xml:space="preserve">Nº Factura </t>
  </si>
  <si>
    <t xml:space="preserve">Total Vencido: </t>
  </si>
  <si>
    <t>Cía. DE ALIMENTOS Y SERVICIOS COALSE S A Ruc: 0992484314001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</si>
</sst>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[$-1080A]#,##0.00"/>
  </numFmts>
  <fonts count="9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4"/>
      <color rgb="FF000000"/>
      <name val="Segoe UI Semibold"/>
      <family val="2"/>
    </font>
    <font>
      <sz val="8"/>
      <color rgb="FF000000"/>
      <name val="Segoe UI"/>
      <family val="2"/>
    </font>
    <font>
      <b/>
      <sz val="8"/>
      <color rgb="FF000000"/>
      <name val="Segoe UI Semibold"/>
      <family val="2"/>
    </font>
    <font>
      <b/>
      <sz val="8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theme="5" tint="0.59999389629810485"/>
        <bgColor rgb="FFEBEBE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EBEBEB"/>
      </patternFill>
    </fill>
    <fill>
      <patternFill patternType="solid">
        <fgColor rgb="FFFFFFCC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1">
    <xf numFmtId="0" fontId="1" fillId="0" borderId="0" xfId="0" applyFont="1"/>
    <xf numFmtId="0" fontId="4" fillId="0" borderId="0" xfId="0" applyFont="1" applyAlignment="1">
      <alignment horizontal="left" wrapText="1" readingOrder="1"/>
    </xf>
    <xf numFmtId="0" fontId="4" fillId="0" borderId="0" xfId="0" applyFont="1" applyAlignment="1">
      <alignment horizontal="right" wrapText="1" readingOrder="1"/>
    </xf>
    <xf numFmtId="0" fontId="5" fillId="0" borderId="0" xfId="0" applyFont="1" applyAlignment="1">
      <alignment horizontal="left" vertical="center" wrapText="1" readingOrder="1"/>
    </xf>
    <xf numFmtId="0" fontId="3" fillId="2" borderId="0" xfId="0" applyFont="1" applyFill="1" applyAlignment="1">
      <alignment horizontal="left" vertical="top" wrapText="1" readingOrder="1"/>
    </xf>
    <xf numFmtId="164" fontId="3" fillId="2" borderId="0" xfId="0" applyNumberFormat="1" applyFont="1" applyFill="1" applyAlignment="1">
      <alignment vertical="top" wrapText="1" readingOrder="1"/>
    </xf>
    <xf numFmtId="0" fontId="3" fillId="3" borderId="0" xfId="0" applyFont="1" applyFill="1" applyAlignment="1">
      <alignment horizontal="left" vertical="top" wrapText="1" readingOrder="1"/>
    </xf>
    <xf numFmtId="164" fontId="3" fillId="3" borderId="0" xfId="0" applyNumberFormat="1" applyFont="1" applyFill="1" applyAlignment="1">
      <alignment vertical="top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/>
    <xf numFmtId="0" fontId="5" fillId="0" borderId="0" xfId="0" applyFont="1" applyAlignment="1">
      <alignment horizontal="left" vertical="center" wrapText="1" readingOrder="1"/>
    </xf>
    <xf numFmtId="164" fontId="3" fillId="2" borderId="0" xfId="0" applyNumberFormat="1" applyFont="1" applyFill="1" applyAlignment="1">
      <alignment vertical="top" wrapText="1" readingOrder="1"/>
    </xf>
    <xf numFmtId="164" fontId="3" fillId="3" borderId="0" xfId="0" applyNumberFormat="1" applyFont="1" applyFill="1" applyAlignment="1">
      <alignment vertical="top" wrapText="1" readingOrder="1"/>
    </xf>
    <xf numFmtId="0" fontId="4" fillId="0" borderId="0" xfId="0" applyFont="1" applyAlignment="1">
      <alignment horizontal="center" wrapText="1" readingOrder="1"/>
    </xf>
    <xf numFmtId="0" fontId="3" fillId="2" borderId="0" xfId="0" applyFont="1" applyFill="1" applyAlignment="1">
      <alignment horizontal="center" vertical="top" wrapText="1" readingOrder="1"/>
    </xf>
    <xf numFmtId="0" fontId="3" fillId="3" borderId="0" xfId="0" applyFont="1" applyFill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164" fontId="3" fillId="4" borderId="0" xfId="0" applyNumberFormat="1" applyFont="1" applyFill="1" applyAlignment="1">
      <alignment vertical="top" wrapText="1" readingOrder="1"/>
    </xf>
    <xf numFmtId="0" fontId="1" fillId="5" borderId="0" xfId="0" applyFont="1" applyFill="1"/>
    <xf numFmtId="164" fontId="3" fillId="6" borderId="0" xfId="0" applyNumberFormat="1" applyFont="1" applyFill="1" applyAlignment="1">
      <alignment vertical="top" wrapText="1" readingOrder="1"/>
    </xf>
    <xf numFmtId="0" fontId="4" fillId="5" borderId="0" xfId="0" applyFont="1" applyFill="1" applyAlignment="1">
      <alignment horizontal="right" wrapText="1" readingOrder="1"/>
    </xf>
    <xf numFmtId="164" fontId="3" fillId="4" borderId="0" xfId="0" applyNumberFormat="1" applyFont="1" applyFill="1" applyAlignment="1">
      <alignment vertical="top" wrapText="1" readingOrder="1"/>
    </xf>
    <xf numFmtId="164" fontId="3" fillId="6" borderId="0" xfId="0" applyNumberFormat="1" applyFont="1" applyFill="1" applyAlignment="1">
      <alignment vertical="top" wrapText="1" readingOrder="1"/>
    </xf>
    <xf numFmtId="0" fontId="4" fillId="5" borderId="0" xfId="0" applyFont="1" applyFill="1" applyAlignment="1">
      <alignment horizontal="right" wrapText="1" readingOrder="1"/>
    </xf>
    <xf numFmtId="0" fontId="4" fillId="7" borderId="0" xfId="0" applyFont="1" applyFill="1" applyAlignment="1">
      <alignment horizontal="center" wrapText="1" readingOrder="1"/>
    </xf>
    <xf numFmtId="0" fontId="3" fillId="8" borderId="0" xfId="0" applyFont="1" applyFill="1" applyAlignment="1">
      <alignment horizontal="center" vertical="top" wrapText="1" readingOrder="1"/>
    </xf>
    <xf numFmtId="0" fontId="3" fillId="9" borderId="0" xfId="0" applyFont="1" applyFill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  <xf numFmtId="0" fontId="1" fillId="0" borderId="1" xfId="0" applyFont="1" applyBorder="1"/>
    <xf numFmtId="164" fontId="5" fillId="0" borderId="1" xfId="0" applyNumberFormat="1" applyFont="1" applyBorder="1" applyAlignment="1">
      <alignment vertical="top" wrapText="1" readingOrder="1"/>
    </xf>
    <xf numFmtId="164" fontId="5" fillId="5" borderId="1" xfId="0" applyNumberFormat="1" applyFont="1" applyFill="1" applyBorder="1" applyAlignment="1">
      <alignment vertical="top" wrapText="1" readingOrder="1"/>
    </xf>
    <xf numFmtId="164" fontId="5" fillId="5" borderId="1" xfId="0" applyNumberFormat="1" applyFont="1" applyFill="1" applyBorder="1" applyAlignment="1">
      <alignment vertical="top" wrapText="1" readingOrder="1"/>
    </xf>
    <xf numFmtId="0" fontId="1" fillId="5" borderId="1" xfId="0" applyFont="1" applyFill="1" applyBorder="1"/>
    <xf numFmtId="0" fontId="7" fillId="7" borderId="1" xfId="0" applyFont="1" applyFill="1" applyBorder="1"/>
    <xf numFmtId="0" fontId="8" fillId="7" borderId="1" xfId="0" applyFont="1" applyFill="1" applyBorder="1"/>
    <xf numFmtId="44" fontId="7" fillId="7" borderId="1" xfId="1" applyFont="1" applyFill="1" applyBorder="1" applyAlignment="1"/>
    <xf numFmtId="44" fontId="7" fillId="7" borderId="1" xfId="1" applyFont="1" applyFill="1" applyBorder="1" applyAlignment="1">
      <alignment horizontal="center"/>
    </xf>
    <xf numFmtId="0" fontId="1" fillId="0" borderId="0" xfId="0" applyFont="1" applyAlignment="1"/>
    <xf numFmtId="0" fontId="5" fillId="7" borderId="0" xfId="0" applyFont="1" applyFill="1" applyAlignment="1">
      <alignment horizontal="left" vertical="center" readingOrder="1"/>
    </xf>
    <xf numFmtId="164" fontId="3" fillId="0" borderId="0" xfId="0" applyNumberFormat="1" applyFont="1" applyFill="1" applyAlignment="1">
      <alignment vertical="top" wrapText="1" readingOrder="1"/>
    </xf>
    <xf numFmtId="164" fontId="5" fillId="0" borderId="1" xfId="0" applyNumberFormat="1" applyFont="1" applyFill="1" applyBorder="1" applyAlignment="1">
      <alignment vertical="top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BEBEB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showGridLines="0" tabSelected="1" workbookViewId="0">
      <pane ySplit="4" topLeftCell="A8" activePane="bottomLeft" state="frozen"/>
      <selection pane="bottomLeft" activeCell="O52" sqref="O52"/>
    </sheetView>
  </sheetViews>
  <sheetFormatPr baseColWidth="10" defaultRowHeight="15" x14ac:dyDescent="0.25"/>
  <cols>
    <col min="1" max="1" width="11.7109375" customWidth="1"/>
    <col min="2" max="2" width="13" style="16" bestFit="1" customWidth="1"/>
    <col min="3" max="3" width="13.85546875" style="16" bestFit="1" customWidth="1"/>
    <col min="4" max="4" width="9.85546875" style="16" bestFit="1" customWidth="1"/>
    <col min="5" max="5" width="11.42578125" bestFit="1" customWidth="1"/>
    <col min="6" max="6" width="7.85546875" bestFit="1" customWidth="1"/>
    <col min="7" max="7" width="9.28515625" bestFit="1" customWidth="1"/>
    <col min="8" max="8" width="8.140625" bestFit="1" customWidth="1"/>
    <col min="9" max="10" width="9" bestFit="1" customWidth="1"/>
    <col min="11" max="11" width="8.42578125" customWidth="1"/>
    <col min="12" max="12" width="0.140625" customWidth="1"/>
  </cols>
  <sheetData>
    <row r="1" spans="1:12" ht="2.1" customHeight="1" x14ac:dyDescent="0.25">
      <c r="A1" s="8" t="s">
        <v>0</v>
      </c>
      <c r="B1" s="9"/>
      <c r="C1" s="9"/>
      <c r="D1" s="9"/>
      <c r="E1" s="9"/>
      <c r="F1" s="9"/>
      <c r="J1" s="9"/>
      <c r="K1" s="9"/>
    </row>
    <row r="2" spans="1:12" ht="11.1" customHeight="1" x14ac:dyDescent="0.25">
      <c r="A2" s="9"/>
      <c r="B2" s="9"/>
      <c r="C2" s="9"/>
      <c r="D2" s="9"/>
      <c r="E2" s="9"/>
      <c r="F2" s="9"/>
      <c r="J2" s="9"/>
      <c r="K2" s="9"/>
    </row>
    <row r="3" spans="1:12" ht="6.95" customHeight="1" x14ac:dyDescent="0.25">
      <c r="A3" s="9"/>
      <c r="B3" s="9"/>
      <c r="C3" s="9"/>
      <c r="D3" s="9"/>
      <c r="E3" s="9"/>
      <c r="F3" s="9"/>
      <c r="J3" s="9"/>
      <c r="K3" s="9"/>
    </row>
    <row r="4" spans="1:12" x14ac:dyDescent="0.25">
      <c r="A4" s="38" t="s">
        <v>79</v>
      </c>
      <c r="B4" s="38"/>
      <c r="C4" s="38"/>
      <c r="D4" s="38"/>
      <c r="E4" s="37"/>
      <c r="F4" s="37"/>
      <c r="J4" s="9"/>
      <c r="K4" s="9"/>
    </row>
    <row r="5" spans="1:12" ht="22.5" x14ac:dyDescent="0.25">
      <c r="A5" s="1" t="s">
        <v>2</v>
      </c>
      <c r="B5" s="13" t="s">
        <v>3</v>
      </c>
      <c r="C5" s="24" t="s">
        <v>77</v>
      </c>
      <c r="D5" s="24" t="s">
        <v>4</v>
      </c>
      <c r="E5" s="2" t="s">
        <v>5</v>
      </c>
      <c r="F5" s="2" t="s">
        <v>6</v>
      </c>
      <c r="G5" s="2" t="s">
        <v>7</v>
      </c>
      <c r="H5" s="23" t="s">
        <v>8</v>
      </c>
      <c r="I5" s="23" t="s">
        <v>9</v>
      </c>
      <c r="J5" s="23" t="s">
        <v>10</v>
      </c>
      <c r="K5" s="20" t="s">
        <v>76</v>
      </c>
      <c r="L5" s="18"/>
    </row>
    <row r="6" spans="1:12" x14ac:dyDescent="0.25">
      <c r="A6" s="10" t="s">
        <v>11</v>
      </c>
      <c r="B6" s="9"/>
      <c r="C6" s="9"/>
      <c r="D6" s="9"/>
      <c r="E6" s="10"/>
      <c r="F6" s="9"/>
      <c r="G6" s="10"/>
      <c r="H6" s="9"/>
      <c r="I6" s="9"/>
      <c r="J6" s="3" t="s">
        <v>1</v>
      </c>
      <c r="K6" s="10" t="s">
        <v>1</v>
      </c>
      <c r="L6" s="9"/>
    </row>
    <row r="7" spans="1:12" x14ac:dyDescent="0.25">
      <c r="A7" s="4" t="s">
        <v>12</v>
      </c>
      <c r="B7" s="14" t="s">
        <v>13</v>
      </c>
      <c r="C7" s="25" t="s">
        <v>14</v>
      </c>
      <c r="D7" s="25" t="s">
        <v>15</v>
      </c>
      <c r="E7" s="5">
        <v>2865.32</v>
      </c>
      <c r="F7" s="5">
        <v>2715.82</v>
      </c>
      <c r="G7" s="5">
        <v>0</v>
      </c>
      <c r="H7" s="5">
        <v>0</v>
      </c>
      <c r="I7" s="5">
        <v>0</v>
      </c>
      <c r="J7" s="5">
        <v>0</v>
      </c>
      <c r="K7" s="17">
        <v>2715.82</v>
      </c>
      <c r="L7" s="18"/>
    </row>
    <row r="8" spans="1:12" x14ac:dyDescent="0.25">
      <c r="A8" s="6" t="s">
        <v>12</v>
      </c>
      <c r="B8" s="15" t="s">
        <v>13</v>
      </c>
      <c r="C8" s="26" t="s">
        <v>16</v>
      </c>
      <c r="D8" s="26" t="s">
        <v>15</v>
      </c>
      <c r="E8" s="7">
        <v>131.05000000000001</v>
      </c>
      <c r="F8" s="7">
        <v>124.21</v>
      </c>
      <c r="G8" s="7">
        <v>0</v>
      </c>
      <c r="H8" s="7">
        <v>0</v>
      </c>
      <c r="I8" s="7">
        <v>0</v>
      </c>
      <c r="J8" s="7">
        <v>0</v>
      </c>
      <c r="K8" s="19">
        <v>124.21</v>
      </c>
      <c r="L8" s="18"/>
    </row>
    <row r="9" spans="1:12" x14ac:dyDescent="0.25">
      <c r="A9" s="4" t="s">
        <v>12</v>
      </c>
      <c r="B9" s="14" t="s">
        <v>13</v>
      </c>
      <c r="C9" s="25" t="s">
        <v>17</v>
      </c>
      <c r="D9" s="25" t="s">
        <v>15</v>
      </c>
      <c r="E9" s="5">
        <v>2954.67</v>
      </c>
      <c r="F9" s="5">
        <v>2800.51</v>
      </c>
      <c r="G9" s="5">
        <v>0</v>
      </c>
      <c r="H9" s="5">
        <v>0</v>
      </c>
      <c r="I9" s="5">
        <v>0</v>
      </c>
      <c r="J9" s="5">
        <v>0</v>
      </c>
      <c r="K9" s="17">
        <v>2800.51</v>
      </c>
      <c r="L9" s="18"/>
    </row>
    <row r="10" spans="1:12" x14ac:dyDescent="0.25">
      <c r="A10" s="6" t="s">
        <v>12</v>
      </c>
      <c r="B10" s="15" t="s">
        <v>13</v>
      </c>
      <c r="C10" s="26" t="s">
        <v>18</v>
      </c>
      <c r="D10" s="26" t="s">
        <v>15</v>
      </c>
      <c r="E10" s="7">
        <v>107.23</v>
      </c>
      <c r="F10" s="7">
        <v>101.63</v>
      </c>
      <c r="G10" s="7">
        <v>0</v>
      </c>
      <c r="H10" s="7">
        <v>0</v>
      </c>
      <c r="I10" s="7">
        <v>0</v>
      </c>
      <c r="J10" s="7">
        <v>0</v>
      </c>
      <c r="K10" s="19">
        <v>101.63</v>
      </c>
      <c r="L10" s="18"/>
    </row>
    <row r="11" spans="1:12" x14ac:dyDescent="0.25">
      <c r="A11" s="4" t="s">
        <v>12</v>
      </c>
      <c r="B11" s="14" t="s">
        <v>13</v>
      </c>
      <c r="C11" s="25" t="s">
        <v>19</v>
      </c>
      <c r="D11" s="25" t="s">
        <v>15</v>
      </c>
      <c r="E11" s="5">
        <v>2627.04</v>
      </c>
      <c r="F11" s="5">
        <v>2489.98</v>
      </c>
      <c r="G11" s="5">
        <v>0</v>
      </c>
      <c r="H11" s="5">
        <v>0</v>
      </c>
      <c r="I11" s="5">
        <v>0</v>
      </c>
      <c r="J11" s="5">
        <v>0</v>
      </c>
      <c r="K11" s="17">
        <v>2489.98</v>
      </c>
      <c r="L11" s="18"/>
    </row>
    <row r="12" spans="1:12" x14ac:dyDescent="0.25">
      <c r="A12" s="6" t="s">
        <v>12</v>
      </c>
      <c r="B12" s="15" t="s">
        <v>13</v>
      </c>
      <c r="C12" s="26" t="s">
        <v>20</v>
      </c>
      <c r="D12" s="26" t="s">
        <v>15</v>
      </c>
      <c r="E12" s="7">
        <v>77.44</v>
      </c>
      <c r="F12" s="7">
        <v>73.400000000000006</v>
      </c>
      <c r="G12" s="7">
        <v>0</v>
      </c>
      <c r="H12" s="7">
        <v>0</v>
      </c>
      <c r="I12" s="7">
        <v>0</v>
      </c>
      <c r="J12" s="7">
        <v>0</v>
      </c>
      <c r="K12" s="19">
        <v>73.400000000000006</v>
      </c>
      <c r="L12" s="18"/>
    </row>
    <row r="13" spans="1:12" x14ac:dyDescent="0.25">
      <c r="A13" s="4" t="s">
        <v>21</v>
      </c>
      <c r="B13" s="14" t="s">
        <v>13</v>
      </c>
      <c r="C13" s="25" t="s">
        <v>22</v>
      </c>
      <c r="D13" s="25" t="s">
        <v>23</v>
      </c>
      <c r="E13" s="5">
        <v>3064.88</v>
      </c>
      <c r="F13" s="5">
        <v>2904.98</v>
      </c>
      <c r="G13" s="5">
        <v>0</v>
      </c>
      <c r="H13" s="5">
        <v>0</v>
      </c>
      <c r="I13" s="5">
        <v>0</v>
      </c>
      <c r="J13" s="5">
        <v>0</v>
      </c>
      <c r="K13" s="17">
        <v>2904.98</v>
      </c>
      <c r="L13" s="18"/>
    </row>
    <row r="14" spans="1:12" x14ac:dyDescent="0.25">
      <c r="A14" s="6" t="s">
        <v>21</v>
      </c>
      <c r="B14" s="15" t="s">
        <v>13</v>
      </c>
      <c r="C14" s="26" t="s">
        <v>24</v>
      </c>
      <c r="D14" s="26" t="s">
        <v>23</v>
      </c>
      <c r="E14" s="7">
        <v>163.82</v>
      </c>
      <c r="F14" s="7">
        <v>155.28</v>
      </c>
      <c r="G14" s="7">
        <v>0</v>
      </c>
      <c r="H14" s="7">
        <v>0</v>
      </c>
      <c r="I14" s="7">
        <v>0</v>
      </c>
      <c r="J14" s="7">
        <v>0</v>
      </c>
      <c r="K14" s="19">
        <v>155.28</v>
      </c>
      <c r="L14" s="18"/>
    </row>
    <row r="15" spans="1:12" x14ac:dyDescent="0.25">
      <c r="A15" s="4" t="s">
        <v>21</v>
      </c>
      <c r="B15" s="14" t="s">
        <v>13</v>
      </c>
      <c r="C15" s="25" t="s">
        <v>25</v>
      </c>
      <c r="D15" s="25" t="s">
        <v>23</v>
      </c>
      <c r="E15" s="5">
        <v>2987.44</v>
      </c>
      <c r="F15" s="5">
        <v>2831.58</v>
      </c>
      <c r="G15" s="5">
        <v>0</v>
      </c>
      <c r="H15" s="5">
        <v>0</v>
      </c>
      <c r="I15" s="5">
        <v>0</v>
      </c>
      <c r="J15" s="5">
        <v>0</v>
      </c>
      <c r="K15" s="17">
        <v>2831.58</v>
      </c>
      <c r="L15" s="18"/>
    </row>
    <row r="16" spans="1:12" x14ac:dyDescent="0.25">
      <c r="A16" s="6" t="s">
        <v>21</v>
      </c>
      <c r="B16" s="15" t="s">
        <v>13</v>
      </c>
      <c r="C16" s="26" t="s">
        <v>26</v>
      </c>
      <c r="D16" s="26" t="s">
        <v>23</v>
      </c>
      <c r="E16" s="7">
        <v>145.94999999999999</v>
      </c>
      <c r="F16" s="7">
        <v>138.33000000000001</v>
      </c>
      <c r="G16" s="7">
        <v>0</v>
      </c>
      <c r="H16" s="7">
        <v>0</v>
      </c>
      <c r="I16" s="7">
        <v>0</v>
      </c>
      <c r="J16" s="7">
        <v>0</v>
      </c>
      <c r="K16" s="19">
        <v>138.33000000000001</v>
      </c>
      <c r="L16" s="18"/>
    </row>
    <row r="17" spans="1:12" x14ac:dyDescent="0.25">
      <c r="A17" s="4" t="s">
        <v>27</v>
      </c>
      <c r="B17" s="14" t="s">
        <v>13</v>
      </c>
      <c r="C17" s="25" t="s">
        <v>28</v>
      </c>
      <c r="D17" s="25" t="s">
        <v>29</v>
      </c>
      <c r="E17" s="5">
        <v>3002.33</v>
      </c>
      <c r="F17" s="5">
        <v>2845.69</v>
      </c>
      <c r="G17" s="5">
        <v>0</v>
      </c>
      <c r="H17" s="5">
        <v>0</v>
      </c>
      <c r="I17" s="5">
        <v>0</v>
      </c>
      <c r="J17" s="21">
        <v>2845.69</v>
      </c>
      <c r="K17" s="11">
        <v>0</v>
      </c>
      <c r="L17" s="9"/>
    </row>
    <row r="18" spans="1:12" x14ac:dyDescent="0.25">
      <c r="A18" s="6" t="s">
        <v>27</v>
      </c>
      <c r="B18" s="15" t="s">
        <v>13</v>
      </c>
      <c r="C18" s="26" t="s">
        <v>30</v>
      </c>
      <c r="D18" s="26" t="s">
        <v>29</v>
      </c>
      <c r="E18" s="7">
        <v>154.88</v>
      </c>
      <c r="F18" s="7">
        <v>146.80000000000001</v>
      </c>
      <c r="G18" s="7">
        <v>0</v>
      </c>
      <c r="H18" s="7">
        <v>0</v>
      </c>
      <c r="I18" s="7">
        <v>0</v>
      </c>
      <c r="J18" s="22">
        <v>146.80000000000001</v>
      </c>
      <c r="K18" s="12">
        <v>0</v>
      </c>
      <c r="L18" s="9"/>
    </row>
    <row r="19" spans="1:12" x14ac:dyDescent="0.25">
      <c r="A19" s="4" t="s">
        <v>27</v>
      </c>
      <c r="B19" s="14" t="s">
        <v>13</v>
      </c>
      <c r="C19" s="25" t="s">
        <v>31</v>
      </c>
      <c r="D19" s="25" t="s">
        <v>29</v>
      </c>
      <c r="E19" s="5">
        <v>2758.09</v>
      </c>
      <c r="F19" s="5">
        <v>2614.19</v>
      </c>
      <c r="G19" s="5">
        <v>0</v>
      </c>
      <c r="H19" s="5">
        <v>0</v>
      </c>
      <c r="I19" s="5">
        <v>0</v>
      </c>
      <c r="J19" s="21">
        <v>2614.19</v>
      </c>
      <c r="K19" s="11">
        <v>0</v>
      </c>
      <c r="L19" s="9"/>
    </row>
    <row r="20" spans="1:12" x14ac:dyDescent="0.25">
      <c r="A20" s="6" t="s">
        <v>27</v>
      </c>
      <c r="B20" s="15" t="s">
        <v>13</v>
      </c>
      <c r="C20" s="26" t="s">
        <v>32</v>
      </c>
      <c r="D20" s="26" t="s">
        <v>29</v>
      </c>
      <c r="E20" s="7">
        <v>148.93</v>
      </c>
      <c r="F20" s="7">
        <v>141.15</v>
      </c>
      <c r="G20" s="7">
        <v>0</v>
      </c>
      <c r="H20" s="7">
        <v>0</v>
      </c>
      <c r="I20" s="7">
        <v>0</v>
      </c>
      <c r="J20" s="22">
        <v>141.15</v>
      </c>
      <c r="K20" s="12">
        <v>0</v>
      </c>
      <c r="L20" s="9"/>
    </row>
    <row r="21" spans="1:12" x14ac:dyDescent="0.25">
      <c r="A21" s="4" t="s">
        <v>27</v>
      </c>
      <c r="B21" s="14" t="s">
        <v>13</v>
      </c>
      <c r="C21" s="25" t="s">
        <v>33</v>
      </c>
      <c r="D21" s="25" t="s">
        <v>29</v>
      </c>
      <c r="E21" s="5">
        <v>2927.87</v>
      </c>
      <c r="F21" s="5">
        <v>2775.11</v>
      </c>
      <c r="G21" s="5">
        <v>0</v>
      </c>
      <c r="H21" s="5">
        <v>0</v>
      </c>
      <c r="I21" s="5">
        <v>0</v>
      </c>
      <c r="J21" s="21">
        <v>2775.11</v>
      </c>
      <c r="K21" s="11">
        <v>0</v>
      </c>
      <c r="L21" s="9"/>
    </row>
    <row r="22" spans="1:12" x14ac:dyDescent="0.25">
      <c r="A22" s="6" t="s">
        <v>27</v>
      </c>
      <c r="B22" s="15" t="s">
        <v>13</v>
      </c>
      <c r="C22" s="26" t="s">
        <v>34</v>
      </c>
      <c r="D22" s="26" t="s">
        <v>29</v>
      </c>
      <c r="E22" s="7">
        <v>145.94999999999999</v>
      </c>
      <c r="F22" s="7">
        <v>138.33000000000001</v>
      </c>
      <c r="G22" s="7">
        <v>0</v>
      </c>
      <c r="H22" s="7">
        <v>0</v>
      </c>
      <c r="I22" s="7">
        <v>0</v>
      </c>
      <c r="J22" s="22">
        <v>138.33000000000001</v>
      </c>
      <c r="K22" s="12">
        <v>0</v>
      </c>
      <c r="L22" s="9"/>
    </row>
    <row r="23" spans="1:12" x14ac:dyDescent="0.25">
      <c r="A23" s="4" t="s">
        <v>35</v>
      </c>
      <c r="B23" s="14" t="s">
        <v>13</v>
      </c>
      <c r="C23" s="25" t="s">
        <v>36</v>
      </c>
      <c r="D23" s="25" t="s">
        <v>37</v>
      </c>
      <c r="E23" s="5">
        <v>2746.18</v>
      </c>
      <c r="F23" s="5">
        <v>2602.9</v>
      </c>
      <c r="G23" s="5">
        <v>0</v>
      </c>
      <c r="H23" s="5">
        <v>0</v>
      </c>
      <c r="I23" s="21">
        <v>2602.9</v>
      </c>
      <c r="J23" s="5">
        <v>0</v>
      </c>
      <c r="K23" s="11">
        <v>0</v>
      </c>
      <c r="L23" s="9"/>
    </row>
    <row r="24" spans="1:12" x14ac:dyDescent="0.25">
      <c r="A24" s="6" t="s">
        <v>35</v>
      </c>
      <c r="B24" s="15" t="s">
        <v>13</v>
      </c>
      <c r="C24" s="26" t="s">
        <v>38</v>
      </c>
      <c r="D24" s="26" t="s">
        <v>37</v>
      </c>
      <c r="E24" s="7">
        <v>142.97</v>
      </c>
      <c r="F24" s="7">
        <v>135.51</v>
      </c>
      <c r="G24" s="7">
        <v>0</v>
      </c>
      <c r="H24" s="7">
        <v>0</v>
      </c>
      <c r="I24" s="22">
        <v>135.51</v>
      </c>
      <c r="J24" s="7">
        <v>0</v>
      </c>
      <c r="K24" s="12">
        <v>0</v>
      </c>
      <c r="L24" s="9"/>
    </row>
    <row r="25" spans="1:12" x14ac:dyDescent="0.25">
      <c r="A25" s="4" t="s">
        <v>35</v>
      </c>
      <c r="B25" s="14" t="s">
        <v>13</v>
      </c>
      <c r="C25" s="25" t="s">
        <v>39</v>
      </c>
      <c r="D25" s="25" t="s">
        <v>37</v>
      </c>
      <c r="E25" s="5">
        <v>113.18</v>
      </c>
      <c r="F25" s="5">
        <v>107.28</v>
      </c>
      <c r="G25" s="5">
        <v>0</v>
      </c>
      <c r="H25" s="5">
        <v>0</v>
      </c>
      <c r="I25" s="21">
        <v>107.28</v>
      </c>
      <c r="J25" s="5">
        <v>0</v>
      </c>
      <c r="K25" s="11">
        <v>0</v>
      </c>
      <c r="L25" s="9"/>
    </row>
    <row r="26" spans="1:12" x14ac:dyDescent="0.25">
      <c r="A26" s="6" t="s">
        <v>35</v>
      </c>
      <c r="B26" s="15" t="s">
        <v>13</v>
      </c>
      <c r="C26" s="26" t="s">
        <v>40</v>
      </c>
      <c r="D26" s="26" t="s">
        <v>37</v>
      </c>
      <c r="E26" s="7">
        <v>2820.64</v>
      </c>
      <c r="F26" s="7">
        <v>2673.48</v>
      </c>
      <c r="G26" s="7">
        <v>0</v>
      </c>
      <c r="H26" s="7">
        <v>0</v>
      </c>
      <c r="I26" s="22">
        <v>2673.48</v>
      </c>
      <c r="J26" s="7">
        <v>0</v>
      </c>
      <c r="K26" s="12">
        <v>0</v>
      </c>
      <c r="L26" s="9"/>
    </row>
    <row r="27" spans="1:12" x14ac:dyDescent="0.25">
      <c r="A27" s="4" t="s">
        <v>41</v>
      </c>
      <c r="B27" s="14" t="s">
        <v>13</v>
      </c>
      <c r="C27" s="25" t="s">
        <v>42</v>
      </c>
      <c r="D27" s="25" t="s">
        <v>43</v>
      </c>
      <c r="E27" s="5">
        <v>3008.29</v>
      </c>
      <c r="F27" s="5">
        <v>2851.33</v>
      </c>
      <c r="G27" s="5">
        <v>0</v>
      </c>
      <c r="H27" s="5">
        <v>0</v>
      </c>
      <c r="I27" s="21">
        <v>2851.33</v>
      </c>
      <c r="J27" s="5">
        <v>0</v>
      </c>
      <c r="K27" s="11">
        <v>0</v>
      </c>
      <c r="L27" s="9"/>
    </row>
    <row r="28" spans="1:12" x14ac:dyDescent="0.25">
      <c r="A28" s="6" t="s">
        <v>41</v>
      </c>
      <c r="B28" s="15" t="s">
        <v>13</v>
      </c>
      <c r="C28" s="26" t="s">
        <v>44</v>
      </c>
      <c r="D28" s="26" t="s">
        <v>43</v>
      </c>
      <c r="E28" s="7">
        <v>83.4</v>
      </c>
      <c r="F28" s="7">
        <v>79.040000000000006</v>
      </c>
      <c r="G28" s="7">
        <v>0</v>
      </c>
      <c r="H28" s="7">
        <v>0</v>
      </c>
      <c r="I28" s="22">
        <v>79.040000000000006</v>
      </c>
      <c r="J28" s="7">
        <v>0</v>
      </c>
      <c r="K28" s="12">
        <v>0</v>
      </c>
      <c r="L28" s="9"/>
    </row>
    <row r="29" spans="1:12" x14ac:dyDescent="0.25">
      <c r="A29" s="4" t="s">
        <v>41</v>
      </c>
      <c r="B29" s="14" t="s">
        <v>13</v>
      </c>
      <c r="C29" s="25" t="s">
        <v>45</v>
      </c>
      <c r="D29" s="25" t="s">
        <v>43</v>
      </c>
      <c r="E29" s="5">
        <v>2814.68</v>
      </c>
      <c r="F29" s="5">
        <v>2667.82</v>
      </c>
      <c r="G29" s="5">
        <v>0</v>
      </c>
      <c r="H29" s="5">
        <v>0</v>
      </c>
      <c r="I29" s="21">
        <v>2667.82</v>
      </c>
      <c r="J29" s="5">
        <v>0</v>
      </c>
      <c r="K29" s="11">
        <v>0</v>
      </c>
      <c r="L29" s="9"/>
    </row>
    <row r="30" spans="1:12" x14ac:dyDescent="0.25">
      <c r="A30" s="6" t="s">
        <v>41</v>
      </c>
      <c r="B30" s="15" t="s">
        <v>13</v>
      </c>
      <c r="C30" s="26" t="s">
        <v>46</v>
      </c>
      <c r="D30" s="26" t="s">
        <v>43</v>
      </c>
      <c r="E30" s="7">
        <v>128.08000000000001</v>
      </c>
      <c r="F30" s="7">
        <v>121.4</v>
      </c>
      <c r="G30" s="7">
        <v>0</v>
      </c>
      <c r="H30" s="7">
        <v>0</v>
      </c>
      <c r="I30" s="22">
        <v>121.4</v>
      </c>
      <c r="J30" s="7">
        <v>0</v>
      </c>
      <c r="K30" s="12">
        <v>0</v>
      </c>
      <c r="L30" s="9"/>
    </row>
    <row r="31" spans="1:12" x14ac:dyDescent="0.25">
      <c r="A31" s="4" t="s">
        <v>41</v>
      </c>
      <c r="B31" s="14" t="s">
        <v>13</v>
      </c>
      <c r="C31" s="25" t="s">
        <v>47</v>
      </c>
      <c r="D31" s="25" t="s">
        <v>43</v>
      </c>
      <c r="E31" s="5">
        <v>2927.87</v>
      </c>
      <c r="F31" s="5">
        <v>2775.11</v>
      </c>
      <c r="G31" s="5">
        <v>0</v>
      </c>
      <c r="H31" s="5">
        <v>0</v>
      </c>
      <c r="I31" s="21">
        <v>2775.11</v>
      </c>
      <c r="J31" s="5">
        <v>0</v>
      </c>
      <c r="K31" s="11">
        <v>0</v>
      </c>
      <c r="L31" s="9"/>
    </row>
    <row r="32" spans="1:12" x14ac:dyDescent="0.25">
      <c r="A32" s="6" t="s">
        <v>41</v>
      </c>
      <c r="B32" s="15" t="s">
        <v>13</v>
      </c>
      <c r="C32" s="26" t="s">
        <v>48</v>
      </c>
      <c r="D32" s="26" t="s">
        <v>43</v>
      </c>
      <c r="E32" s="7">
        <v>137.01</v>
      </c>
      <c r="F32" s="7">
        <v>129.87</v>
      </c>
      <c r="G32" s="7">
        <v>0</v>
      </c>
      <c r="H32" s="7">
        <v>0</v>
      </c>
      <c r="I32" s="22">
        <v>129.87</v>
      </c>
      <c r="J32" s="7">
        <v>0</v>
      </c>
      <c r="K32" s="12">
        <v>0</v>
      </c>
      <c r="L32" s="9"/>
    </row>
    <row r="33" spans="1:12" x14ac:dyDescent="0.25">
      <c r="A33" s="4" t="s">
        <v>49</v>
      </c>
      <c r="B33" s="14" t="s">
        <v>13</v>
      </c>
      <c r="C33" s="25" t="s">
        <v>50</v>
      </c>
      <c r="D33" s="25" t="s">
        <v>51</v>
      </c>
      <c r="E33" s="5">
        <v>2939.78</v>
      </c>
      <c r="F33" s="5">
        <v>2786.4</v>
      </c>
      <c r="G33" s="5">
        <v>2786.4</v>
      </c>
      <c r="H33" s="5">
        <v>0</v>
      </c>
      <c r="I33" s="5">
        <v>0</v>
      </c>
      <c r="J33" s="5">
        <v>0</v>
      </c>
      <c r="K33" s="11">
        <v>0</v>
      </c>
      <c r="L33" s="9"/>
    </row>
    <row r="34" spans="1:12" x14ac:dyDescent="0.25">
      <c r="A34" s="6" t="s">
        <v>49</v>
      </c>
      <c r="B34" s="15" t="s">
        <v>13</v>
      </c>
      <c r="C34" s="26" t="s">
        <v>52</v>
      </c>
      <c r="D34" s="26" t="s">
        <v>51</v>
      </c>
      <c r="E34" s="7">
        <v>125.1</v>
      </c>
      <c r="F34" s="7">
        <v>118.58</v>
      </c>
      <c r="G34" s="39">
        <v>118.58</v>
      </c>
      <c r="H34" s="7">
        <v>0</v>
      </c>
      <c r="I34" s="7">
        <v>0</v>
      </c>
      <c r="J34" s="7">
        <v>0</v>
      </c>
      <c r="K34" s="12">
        <v>0</v>
      </c>
      <c r="L34" s="9"/>
    </row>
    <row r="35" spans="1:12" x14ac:dyDescent="0.25">
      <c r="A35" s="4" t="s">
        <v>49</v>
      </c>
      <c r="B35" s="14" t="s">
        <v>13</v>
      </c>
      <c r="C35" s="25" t="s">
        <v>53</v>
      </c>
      <c r="D35" s="25" t="s">
        <v>51</v>
      </c>
      <c r="E35" s="5">
        <v>2790.85</v>
      </c>
      <c r="F35" s="5">
        <v>2645.25</v>
      </c>
      <c r="G35" s="5">
        <v>2645.25</v>
      </c>
      <c r="H35" s="5">
        <v>0</v>
      </c>
      <c r="I35" s="5">
        <v>0</v>
      </c>
      <c r="J35" s="5">
        <v>0</v>
      </c>
      <c r="K35" s="11">
        <v>0</v>
      </c>
      <c r="L35" s="9"/>
    </row>
    <row r="36" spans="1:12" x14ac:dyDescent="0.25">
      <c r="A36" s="6" t="s">
        <v>49</v>
      </c>
      <c r="B36" s="15" t="s">
        <v>13</v>
      </c>
      <c r="C36" s="26" t="s">
        <v>54</v>
      </c>
      <c r="D36" s="26" t="s">
        <v>51</v>
      </c>
      <c r="E36" s="7">
        <v>116.16</v>
      </c>
      <c r="F36" s="7">
        <v>110.1</v>
      </c>
      <c r="G36" s="39">
        <v>110.1</v>
      </c>
      <c r="H36" s="7">
        <v>0</v>
      </c>
      <c r="I36" s="7">
        <v>0</v>
      </c>
      <c r="J36" s="7">
        <v>0</v>
      </c>
      <c r="K36" s="12">
        <v>0</v>
      </c>
      <c r="L36" s="9"/>
    </row>
    <row r="37" spans="1:12" x14ac:dyDescent="0.25">
      <c r="A37" s="4" t="s">
        <v>49</v>
      </c>
      <c r="B37" s="14" t="s">
        <v>13</v>
      </c>
      <c r="C37" s="25" t="s">
        <v>55</v>
      </c>
      <c r="D37" s="25" t="s">
        <v>51</v>
      </c>
      <c r="E37" s="5">
        <v>2880.21</v>
      </c>
      <c r="F37" s="5">
        <v>2729.93</v>
      </c>
      <c r="G37" s="5">
        <v>2729.93</v>
      </c>
      <c r="H37" s="5">
        <v>0</v>
      </c>
      <c r="I37" s="5">
        <v>0</v>
      </c>
      <c r="J37" s="5">
        <v>0</v>
      </c>
      <c r="K37" s="11">
        <v>0</v>
      </c>
      <c r="L37" s="9"/>
    </row>
    <row r="38" spans="1:12" x14ac:dyDescent="0.25">
      <c r="A38" s="6" t="s">
        <v>49</v>
      </c>
      <c r="B38" s="15" t="s">
        <v>13</v>
      </c>
      <c r="C38" s="26" t="s">
        <v>56</v>
      </c>
      <c r="D38" s="26" t="s">
        <v>51</v>
      </c>
      <c r="E38" s="7">
        <v>131.05000000000001</v>
      </c>
      <c r="F38" s="7">
        <v>124.21</v>
      </c>
      <c r="G38" s="39">
        <v>124.21</v>
      </c>
      <c r="H38" s="7">
        <v>0</v>
      </c>
      <c r="I38" s="7">
        <v>0</v>
      </c>
      <c r="J38" s="7">
        <v>0</v>
      </c>
      <c r="K38" s="12">
        <v>0</v>
      </c>
      <c r="L38" s="9"/>
    </row>
    <row r="39" spans="1:12" x14ac:dyDescent="0.25">
      <c r="A39" s="4" t="s">
        <v>49</v>
      </c>
      <c r="B39" s="14" t="s">
        <v>13</v>
      </c>
      <c r="C39" s="25" t="s">
        <v>57</v>
      </c>
      <c r="D39" s="25" t="s">
        <v>51</v>
      </c>
      <c r="E39" s="5">
        <v>2853.4</v>
      </c>
      <c r="F39" s="5">
        <v>2704.52</v>
      </c>
      <c r="G39" s="5">
        <v>2704.52</v>
      </c>
      <c r="H39" s="5">
        <v>0</v>
      </c>
      <c r="I39" s="5">
        <v>0</v>
      </c>
      <c r="J39" s="5">
        <v>0</v>
      </c>
      <c r="K39" s="11">
        <v>0</v>
      </c>
      <c r="L39" s="9"/>
    </row>
    <row r="40" spans="1:12" x14ac:dyDescent="0.25">
      <c r="A40" s="6" t="s">
        <v>49</v>
      </c>
      <c r="B40" s="15" t="s">
        <v>13</v>
      </c>
      <c r="C40" s="26" t="s">
        <v>58</v>
      </c>
      <c r="D40" s="26" t="s">
        <v>51</v>
      </c>
      <c r="E40" s="7">
        <v>163.82</v>
      </c>
      <c r="F40" s="7">
        <v>155.28</v>
      </c>
      <c r="G40" s="39">
        <v>155.28</v>
      </c>
      <c r="H40" s="7">
        <v>0</v>
      </c>
      <c r="I40" s="7">
        <v>0</v>
      </c>
      <c r="J40" s="7">
        <v>0</v>
      </c>
      <c r="K40" s="12">
        <v>0</v>
      </c>
      <c r="L40" s="9"/>
    </row>
    <row r="41" spans="1:12" x14ac:dyDescent="0.25">
      <c r="A41" s="4" t="s">
        <v>49</v>
      </c>
      <c r="B41" s="14" t="s">
        <v>13</v>
      </c>
      <c r="C41" s="25" t="s">
        <v>59</v>
      </c>
      <c r="D41" s="25" t="s">
        <v>51</v>
      </c>
      <c r="E41" s="5">
        <v>2805.75</v>
      </c>
      <c r="F41" s="5">
        <v>2805.75</v>
      </c>
      <c r="G41" s="5">
        <v>2805.75</v>
      </c>
      <c r="H41" s="5">
        <v>0</v>
      </c>
      <c r="I41" s="5">
        <v>0</v>
      </c>
      <c r="J41" s="5">
        <v>0</v>
      </c>
      <c r="K41" s="11">
        <v>0</v>
      </c>
      <c r="L41" s="9"/>
    </row>
    <row r="42" spans="1:12" x14ac:dyDescent="0.25">
      <c r="A42" s="6" t="s">
        <v>49</v>
      </c>
      <c r="B42" s="15" t="s">
        <v>13</v>
      </c>
      <c r="C42" s="26" t="s">
        <v>60</v>
      </c>
      <c r="D42" s="26" t="s">
        <v>51</v>
      </c>
      <c r="E42" s="7">
        <v>131.05000000000001</v>
      </c>
      <c r="F42" s="7">
        <v>124.21</v>
      </c>
      <c r="G42" s="39">
        <v>124.21</v>
      </c>
      <c r="H42" s="7">
        <v>0</v>
      </c>
      <c r="I42" s="7">
        <v>0</v>
      </c>
      <c r="J42" s="7">
        <v>0</v>
      </c>
      <c r="K42" s="12">
        <v>0</v>
      </c>
      <c r="L42" s="9"/>
    </row>
    <row r="43" spans="1:12" x14ac:dyDescent="0.25">
      <c r="A43" s="4" t="s">
        <v>49</v>
      </c>
      <c r="B43" s="14" t="s">
        <v>13</v>
      </c>
      <c r="C43" s="25" t="s">
        <v>61</v>
      </c>
      <c r="D43" s="25" t="s">
        <v>51</v>
      </c>
      <c r="E43" s="5">
        <v>2877.23</v>
      </c>
      <c r="F43" s="5">
        <v>2727.11</v>
      </c>
      <c r="G43" s="5">
        <v>2727.11</v>
      </c>
      <c r="H43" s="5">
        <v>0</v>
      </c>
      <c r="I43" s="5">
        <v>0</v>
      </c>
      <c r="J43" s="5">
        <v>0</v>
      </c>
      <c r="K43" s="11">
        <v>0</v>
      </c>
      <c r="L43" s="9"/>
    </row>
    <row r="44" spans="1:12" x14ac:dyDescent="0.25">
      <c r="A44" s="6" t="s">
        <v>49</v>
      </c>
      <c r="B44" s="15" t="s">
        <v>13</v>
      </c>
      <c r="C44" s="26" t="s">
        <v>62</v>
      </c>
      <c r="D44" s="26" t="s">
        <v>51</v>
      </c>
      <c r="E44" s="7">
        <v>142.97</v>
      </c>
      <c r="F44" s="7">
        <v>135.51</v>
      </c>
      <c r="G44" s="39">
        <v>135.51</v>
      </c>
      <c r="H44" s="7">
        <v>0</v>
      </c>
      <c r="I44" s="7">
        <v>0</v>
      </c>
      <c r="J44" s="7">
        <v>0</v>
      </c>
      <c r="K44" s="12">
        <v>0</v>
      </c>
      <c r="L44" s="9"/>
    </row>
    <row r="45" spans="1:12" x14ac:dyDescent="0.25">
      <c r="A45" s="4" t="s">
        <v>63</v>
      </c>
      <c r="B45" s="14" t="s">
        <v>13</v>
      </c>
      <c r="C45" s="25" t="s">
        <v>64</v>
      </c>
      <c r="D45" s="25" t="s">
        <v>65</v>
      </c>
      <c r="E45" s="5">
        <v>2832.55</v>
      </c>
      <c r="F45" s="5">
        <v>2832.55</v>
      </c>
      <c r="G45" s="5">
        <v>2832.55</v>
      </c>
      <c r="H45" s="5">
        <v>0</v>
      </c>
      <c r="I45" s="5">
        <v>0</v>
      </c>
      <c r="J45" s="5">
        <v>0</v>
      </c>
      <c r="K45" s="11">
        <v>0</v>
      </c>
      <c r="L45" s="9"/>
    </row>
    <row r="46" spans="1:12" x14ac:dyDescent="0.25">
      <c r="A46" s="6" t="s">
        <v>63</v>
      </c>
      <c r="B46" s="15" t="s">
        <v>13</v>
      </c>
      <c r="C46" s="26" t="s">
        <v>66</v>
      </c>
      <c r="D46" s="26" t="s">
        <v>65</v>
      </c>
      <c r="E46" s="7">
        <v>145.94999999999999</v>
      </c>
      <c r="F46" s="7">
        <v>145.94999999999999</v>
      </c>
      <c r="G46" s="39">
        <v>145.94999999999999</v>
      </c>
      <c r="H46" s="7">
        <v>0</v>
      </c>
      <c r="I46" s="7">
        <v>0</v>
      </c>
      <c r="J46" s="7">
        <v>0</v>
      </c>
      <c r="K46" s="12">
        <v>0</v>
      </c>
      <c r="L46" s="9"/>
    </row>
    <row r="47" spans="1:12" x14ac:dyDescent="0.25">
      <c r="A47" s="4" t="s">
        <v>67</v>
      </c>
      <c r="B47" s="14" t="s">
        <v>13</v>
      </c>
      <c r="C47" s="25" t="s">
        <v>68</v>
      </c>
      <c r="D47" s="25" t="s">
        <v>69</v>
      </c>
      <c r="E47" s="5">
        <v>2927.87</v>
      </c>
      <c r="F47" s="5">
        <v>2927.87</v>
      </c>
      <c r="G47" s="5">
        <v>2927.87</v>
      </c>
      <c r="H47" s="5">
        <v>0</v>
      </c>
      <c r="I47" s="5">
        <v>0</v>
      </c>
      <c r="J47" s="5">
        <v>0</v>
      </c>
      <c r="K47" s="11">
        <v>0</v>
      </c>
      <c r="L47" s="9"/>
    </row>
    <row r="48" spans="1:12" x14ac:dyDescent="0.25">
      <c r="A48" s="6" t="s">
        <v>67</v>
      </c>
      <c r="B48" s="15" t="s">
        <v>13</v>
      </c>
      <c r="C48" s="26" t="s">
        <v>70</v>
      </c>
      <c r="D48" s="26" t="s">
        <v>69</v>
      </c>
      <c r="E48" s="7">
        <v>157.86000000000001</v>
      </c>
      <c r="F48" s="7">
        <v>157.86000000000001</v>
      </c>
      <c r="G48" s="39">
        <v>157.86000000000001</v>
      </c>
      <c r="H48" s="7">
        <v>0</v>
      </c>
      <c r="I48" s="7">
        <v>0</v>
      </c>
      <c r="J48" s="7">
        <v>0</v>
      </c>
      <c r="K48" s="12">
        <v>0</v>
      </c>
      <c r="L48" s="9"/>
    </row>
    <row r="49" spans="1:12" x14ac:dyDescent="0.25">
      <c r="A49" s="4" t="s">
        <v>71</v>
      </c>
      <c r="B49" s="14" t="s">
        <v>13</v>
      </c>
      <c r="C49" s="25" t="s">
        <v>72</v>
      </c>
      <c r="D49" s="25" t="s">
        <v>73</v>
      </c>
      <c r="E49" s="5">
        <v>2954.67</v>
      </c>
      <c r="F49" s="5">
        <v>2954.67</v>
      </c>
      <c r="G49" s="5">
        <v>2954.67</v>
      </c>
      <c r="H49" s="5">
        <v>0</v>
      </c>
      <c r="I49" s="5">
        <v>0</v>
      </c>
      <c r="J49" s="5">
        <v>0</v>
      </c>
      <c r="K49" s="11">
        <v>0</v>
      </c>
      <c r="L49" s="9"/>
    </row>
    <row r="50" spans="1:12" x14ac:dyDescent="0.25">
      <c r="A50" s="6" t="s">
        <v>71</v>
      </c>
      <c r="B50" s="15" t="s">
        <v>13</v>
      </c>
      <c r="C50" s="26" t="s">
        <v>74</v>
      </c>
      <c r="D50" s="26" t="s">
        <v>73</v>
      </c>
      <c r="E50" s="7">
        <v>137.01</v>
      </c>
      <c r="F50" s="7">
        <v>137.01</v>
      </c>
      <c r="G50" s="39">
        <v>137.01</v>
      </c>
      <c r="H50" s="7">
        <v>0</v>
      </c>
      <c r="I50" s="7">
        <v>0</v>
      </c>
      <c r="J50" s="7">
        <v>0</v>
      </c>
      <c r="K50" s="12">
        <v>0</v>
      </c>
      <c r="L50" s="9"/>
    </row>
    <row r="51" spans="1:12" x14ac:dyDescent="0.25">
      <c r="A51" s="27" t="s">
        <v>75</v>
      </c>
      <c r="B51" s="28"/>
      <c r="C51" s="28"/>
      <c r="D51" s="28"/>
      <c r="E51" s="28"/>
      <c r="F51" s="29">
        <v>63463.49</v>
      </c>
      <c r="G51" s="40">
        <v>26322.76</v>
      </c>
      <c r="H51" s="40">
        <v>0</v>
      </c>
      <c r="I51" s="30">
        <v>14143.74</v>
      </c>
      <c r="J51" s="30">
        <v>8661.27</v>
      </c>
      <c r="K51" s="31">
        <v>14335.72</v>
      </c>
      <c r="L51" s="32"/>
    </row>
    <row r="52" spans="1:12" ht="15.75" x14ac:dyDescent="0.25">
      <c r="A52" s="33" t="s">
        <v>78</v>
      </c>
      <c r="B52" s="33"/>
      <c r="C52" s="34"/>
      <c r="D52" s="34"/>
      <c r="E52" s="35"/>
      <c r="F52" s="35"/>
      <c r="G52" s="34"/>
      <c r="H52" s="34"/>
      <c r="I52" s="36">
        <f>I51+J51+K51</f>
        <v>37140.730000000003</v>
      </c>
      <c r="J52" s="36"/>
      <c r="K52" s="34"/>
    </row>
  </sheetData>
  <mergeCells count="58">
    <mergeCell ref="A51:E51"/>
    <mergeCell ref="K51:L51"/>
    <mergeCell ref="K50:L50"/>
    <mergeCell ref="I52:J52"/>
    <mergeCell ref="K48:L48"/>
    <mergeCell ref="K49:L49"/>
    <mergeCell ref="K46:L46"/>
    <mergeCell ref="K47:L47"/>
    <mergeCell ref="K44:L44"/>
    <mergeCell ref="K45:L45"/>
    <mergeCell ref="K42:L42"/>
    <mergeCell ref="K43:L43"/>
    <mergeCell ref="K40:L40"/>
    <mergeCell ref="K41:L41"/>
    <mergeCell ref="K38:L38"/>
    <mergeCell ref="K39:L39"/>
    <mergeCell ref="K36:L36"/>
    <mergeCell ref="K37:L37"/>
    <mergeCell ref="K34:L34"/>
    <mergeCell ref="K35:L35"/>
    <mergeCell ref="K32:L32"/>
    <mergeCell ref="K33:L33"/>
    <mergeCell ref="K30:L30"/>
    <mergeCell ref="K31:L31"/>
    <mergeCell ref="K28:L28"/>
    <mergeCell ref="K29:L29"/>
    <mergeCell ref="K26:L26"/>
    <mergeCell ref="K27:L27"/>
    <mergeCell ref="K24:L24"/>
    <mergeCell ref="K25:L25"/>
    <mergeCell ref="K22:L22"/>
    <mergeCell ref="K23:L23"/>
    <mergeCell ref="K20:L20"/>
    <mergeCell ref="K21:L21"/>
    <mergeCell ref="K18:L18"/>
    <mergeCell ref="K19:L19"/>
    <mergeCell ref="K16:L16"/>
    <mergeCell ref="K17:L17"/>
    <mergeCell ref="K14:L14"/>
    <mergeCell ref="K15:L15"/>
    <mergeCell ref="K12:L12"/>
    <mergeCell ref="K13:L13"/>
    <mergeCell ref="K10:L10"/>
    <mergeCell ref="K11:L11"/>
    <mergeCell ref="K8:L8"/>
    <mergeCell ref="K9:L9"/>
    <mergeCell ref="K7:L7"/>
    <mergeCell ref="A6:D6"/>
    <mergeCell ref="E6:F6"/>
    <mergeCell ref="G6:I6"/>
    <mergeCell ref="K6:L6"/>
    <mergeCell ref="K5:L5"/>
    <mergeCell ref="A1:F3"/>
    <mergeCell ref="J1:K1"/>
    <mergeCell ref="J2:K2"/>
    <mergeCell ref="J3:K3"/>
    <mergeCell ref="J4:K4"/>
    <mergeCell ref="A4:D4"/>
  </mergeCells>
  <pageMargins left="0.59055118110236204" right="0.39370078740157499" top="0.39370078740157499" bottom="0.39370078740157499" header="0.39370078740157499" footer="0.39370078740157499"/>
  <pageSetup paperSize="9" orientation="landscape" horizontalDpi="300" verticalDpi="300"/>
  <headerFooter alignWithMargins="0"/>
  <ignoredErrors>
    <ignoredError sqref="A7:A50 D7:D50" twoDigitTextYear="1"/>
    <ignoredError sqref="C7:C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Surpapelcorp</vt:lpstr>
      <vt:lpstr>Surpapelcorp!Títulos_a_imprimir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Cobranzas</dc:creator>
  <cp:lastModifiedBy>Usuario de Windows</cp:lastModifiedBy>
  <dcterms:created xsi:type="dcterms:W3CDTF">2026-09-21T17:29:29Z</dcterms:created>
  <dcterms:modified xsi:type="dcterms:W3CDTF">2026-09-21T17:29:29Z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