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scritorio\"/>
    </mc:Choice>
  </mc:AlternateContent>
  <xr:revisionPtr revIDLastSave="0" documentId="8_{44D1A4DE-7392-4634-9029-56CA042ADF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ora Cartonera " sheetId="1" r:id="rId1"/>
  </sheets>
  <definedNames>
    <definedName name="_xlnm.Print_Titles" localSheetId="0">'Productora Cartonera '!$2:$6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1" l="1"/>
</calcChain>
</file>

<file path=xl/sharedStrings.xml><?xml version="1.0" encoding="utf-8"?>
<sst xmlns="http://schemas.openxmlformats.org/spreadsheetml/2006/main" count="106" uniqueCount="58">
  <si>
    <t>Antigüedad cobros</t>
  </si>
  <si>
    <t/>
  </si>
  <si>
    <t>COMPANIA DE ALIMENTOS Y SERVICIOS COALSE S A</t>
  </si>
  <si>
    <t>Fecha registro</t>
  </si>
  <si>
    <t>Tipo documento</t>
  </si>
  <si>
    <t>Fecha vencimiento</t>
  </si>
  <si>
    <t xml:space="preserve">Importe inicial </t>
  </si>
  <si>
    <t>Saldo</t>
  </si>
  <si>
    <t>No vencido</t>
  </si>
  <si>
    <t>1 - 30 días</t>
  </si>
  <si>
    <t>31 - 60 días</t>
  </si>
  <si>
    <t>61 - 90 días</t>
  </si>
  <si>
    <r>
      <rPr>
        <b/>
        <sz val="8"/>
        <color rgb="FF000000"/>
        <rFont val="Segoe UI"/>
        <family val="2"/>
      </rPr>
      <t>CLTE-00000059</t>
    </r>
    <r>
      <rPr>
        <b/>
        <sz val="8"/>
        <color rgb="FF000000"/>
        <rFont val="Segoe UI"/>
        <family val="2"/>
      </rPr>
      <t xml:space="preserve"> - </t>
    </r>
    <r>
      <rPr>
        <b/>
        <sz val="8"/>
        <color rgb="FF000000"/>
        <rFont val="Segoe UI"/>
        <family val="2"/>
      </rPr>
      <t>PRODUCTORA CARTONERA S.A</t>
    </r>
  </si>
  <si>
    <t>04/05/26</t>
  </si>
  <si>
    <t>Factura</t>
  </si>
  <si>
    <t>001005000003230</t>
  </si>
  <si>
    <t>03/06/26</t>
  </si>
  <si>
    <t>001005000003235</t>
  </si>
  <si>
    <t>001005000003240</t>
  </si>
  <si>
    <t>20/05/26</t>
  </si>
  <si>
    <t>001005000003746</t>
  </si>
  <si>
    <t>19/06/26</t>
  </si>
  <si>
    <t>001005000003751</t>
  </si>
  <si>
    <t>15/06/26</t>
  </si>
  <si>
    <t>001005000004460</t>
  </si>
  <si>
    <t>15/07/26</t>
  </si>
  <si>
    <t>001005000004466</t>
  </si>
  <si>
    <t>001005000004472</t>
  </si>
  <si>
    <t>16/07/26</t>
  </si>
  <si>
    <t>001005000005648</t>
  </si>
  <si>
    <t>15/08/26</t>
  </si>
  <si>
    <t>001005000005654</t>
  </si>
  <si>
    <t>20/07/26</t>
  </si>
  <si>
    <t>001005000005762</t>
  </si>
  <si>
    <t>19/08/26</t>
  </si>
  <si>
    <t>001005000005768</t>
  </si>
  <si>
    <t>001005000005774</t>
  </si>
  <si>
    <t>26/08/26</t>
  </si>
  <si>
    <t>001005000007085</t>
  </si>
  <si>
    <t>25/09/26</t>
  </si>
  <si>
    <t>001005000007090</t>
  </si>
  <si>
    <t>001005000007097</t>
  </si>
  <si>
    <t>001005000007104</t>
  </si>
  <si>
    <t>001005000007111</t>
  </si>
  <si>
    <t>001005000007145</t>
  </si>
  <si>
    <t>04/09/26</t>
  </si>
  <si>
    <t>001005000007379</t>
  </si>
  <si>
    <t>04/10/26</t>
  </si>
  <si>
    <t>11/09/26</t>
  </si>
  <si>
    <t>001005000007583</t>
  </si>
  <si>
    <t>11/10/26</t>
  </si>
  <si>
    <t>16/09/26</t>
  </si>
  <si>
    <t>001005000007762</t>
  </si>
  <si>
    <t>16/10/26</t>
  </si>
  <si>
    <t>Total para PRODUCTORA CARTONERA S.A</t>
  </si>
  <si>
    <t>&gt; 90 días</t>
  </si>
  <si>
    <t xml:space="preserve">Total Vencido: </t>
  </si>
  <si>
    <t xml:space="preserve">Nº Factura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</si>
</sst>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[$-1080A]#,##0.00"/>
  </numFmts>
  <fonts count="10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4"/>
      <color rgb="FF000000"/>
      <name val="Segoe UI Semibold"/>
      <family val="2"/>
    </font>
    <font>
      <sz val="2"/>
      <color rgb="FF000000"/>
      <name val="Segoe UI"/>
      <family val="2"/>
    </font>
    <font>
      <sz val="8"/>
      <color rgb="FF000000"/>
      <name val="Segoe UI"/>
      <family val="2"/>
    </font>
    <font>
      <b/>
      <sz val="8"/>
      <color rgb="FF000000"/>
      <name val="Segoe UI Semibold"/>
      <family val="2"/>
    </font>
    <font>
      <b/>
      <sz val="8"/>
      <color rgb="FF000000"/>
      <name val="Segoe UI"/>
      <family val="2"/>
    </font>
    <font>
      <sz val="11"/>
      <color rgb="FF000000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BEBEB"/>
        <bgColor rgb="FFEBEBEB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BEBEB"/>
      </patternFill>
    </fill>
    <fill>
      <patternFill patternType="solid">
        <fgColor theme="5" tint="0.59999389629810485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EBEBEB"/>
      </patternFill>
    </fill>
    <fill>
      <patternFill patternType="solid">
        <fgColor rgb="FFFFFFCC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5">
    <xf numFmtId="0" fontId="1" fillId="0" borderId="0" xfId="0" applyFont="1"/>
    <xf numFmtId="0" fontId="3" fillId="0" borderId="0" xfId="0" applyFont="1" applyAlignment="1">
      <alignment horizontal="right" vertical="top" wrapText="1" readingOrder="1"/>
    </xf>
    <xf numFmtId="0" fontId="5" fillId="0" borderId="0" xfId="0" applyFont="1" applyAlignment="1">
      <alignment wrapText="1" readingOrder="1"/>
    </xf>
    <xf numFmtId="0" fontId="5" fillId="0" borderId="0" xfId="0" applyFont="1" applyAlignment="1">
      <alignment horizontal="left" wrapText="1" readingOrder="1"/>
    </xf>
    <xf numFmtId="0" fontId="5" fillId="0" borderId="0" xfId="0" applyFont="1" applyAlignment="1">
      <alignment horizontal="right" wrapText="1" readingOrder="1"/>
    </xf>
    <xf numFmtId="0" fontId="6" fillId="0" borderId="0" xfId="0" applyFont="1" applyAlignment="1">
      <alignment horizontal="left" vertical="center" wrapText="1" readingOrder="1"/>
    </xf>
    <xf numFmtId="0" fontId="4" fillId="2" borderId="0" xfId="0" applyFont="1" applyFill="1" applyAlignment="1">
      <alignment horizontal="left" vertical="top" wrapText="1" readingOrder="1"/>
    </xf>
    <xf numFmtId="0" fontId="4" fillId="2" borderId="0" xfId="0" applyFont="1" applyFill="1" applyAlignment="1">
      <alignment vertical="top" wrapText="1" readingOrder="1"/>
    </xf>
    <xf numFmtId="164" fontId="4" fillId="2" borderId="0" xfId="0" applyNumberFormat="1" applyFont="1" applyFill="1" applyAlignment="1">
      <alignment vertical="top" wrapText="1" readingOrder="1"/>
    </xf>
    <xf numFmtId="0" fontId="4" fillId="3" borderId="0" xfId="0" applyFont="1" applyFill="1" applyAlignment="1">
      <alignment horizontal="left" vertical="top" wrapText="1" readingOrder="1"/>
    </xf>
    <xf numFmtId="0" fontId="4" fillId="3" borderId="0" xfId="0" applyFont="1" applyFill="1" applyAlignment="1">
      <alignment vertical="top" wrapText="1" readingOrder="1"/>
    </xf>
    <xf numFmtId="164" fontId="4" fillId="3" borderId="0" xfId="0" applyNumberFormat="1" applyFont="1" applyFill="1" applyAlignment="1">
      <alignment vertical="top" wrapText="1" readingOrder="1"/>
    </xf>
    <xf numFmtId="0" fontId="2" fillId="0" borderId="0" xfId="0" applyFont="1" applyAlignment="1">
      <alignment vertical="center" wrapText="1" readingOrder="1"/>
    </xf>
    <xf numFmtId="0" fontId="1" fillId="0" borderId="0" xfId="0" applyFont="1"/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center" wrapText="1" readingOrder="1"/>
    </xf>
    <xf numFmtId="0" fontId="4" fillId="2" borderId="0" xfId="0" applyFont="1" applyFill="1" applyAlignment="1">
      <alignment horizontal="center" vertical="top" wrapText="1" readingOrder="1"/>
    </xf>
    <xf numFmtId="0" fontId="4" fillId="3" borderId="0" xfId="0" applyFont="1" applyFill="1" applyAlignment="1">
      <alignment horizontal="center" vertical="top" wrapText="1" readingOrder="1"/>
    </xf>
    <xf numFmtId="0" fontId="1" fillId="0" borderId="0" xfId="0" applyFont="1" applyAlignment="1">
      <alignment horizontal="center"/>
    </xf>
    <xf numFmtId="0" fontId="5" fillId="4" borderId="0" xfId="0" applyFont="1" applyFill="1" applyAlignment="1">
      <alignment horizontal="right" wrapText="1" readingOrder="1"/>
    </xf>
    <xf numFmtId="164" fontId="4" fillId="5" borderId="0" xfId="0" applyNumberFormat="1" applyFont="1" applyFill="1" applyAlignment="1">
      <alignment vertical="top" wrapText="1" readingOrder="1"/>
    </xf>
    <xf numFmtId="164" fontId="4" fillId="6" borderId="0" xfId="0" applyNumberFormat="1" applyFont="1" applyFill="1" applyAlignment="1">
      <alignment vertical="top" wrapText="1" readingOrder="1"/>
    </xf>
    <xf numFmtId="0" fontId="4" fillId="0" borderId="2" xfId="0" applyFont="1" applyBorder="1" applyAlignment="1">
      <alignment vertical="top" wrapText="1" readingOrder="1"/>
    </xf>
    <xf numFmtId="0" fontId="1" fillId="0" borderId="2" xfId="0" applyFont="1" applyBorder="1"/>
    <xf numFmtId="164" fontId="6" fillId="0" borderId="2" xfId="0" applyNumberFormat="1" applyFont="1" applyBorder="1" applyAlignment="1">
      <alignment vertical="top" wrapText="1" readingOrder="1"/>
    </xf>
    <xf numFmtId="164" fontId="6" fillId="4" borderId="2" xfId="0" applyNumberFormat="1" applyFont="1" applyFill="1" applyBorder="1" applyAlignment="1">
      <alignment vertical="top" wrapText="1" readingOrder="1"/>
    </xf>
    <xf numFmtId="0" fontId="8" fillId="7" borderId="1" xfId="0" applyFont="1" applyFill="1" applyBorder="1"/>
    <xf numFmtId="0" fontId="9" fillId="7" borderId="1" xfId="0" applyFont="1" applyFill="1" applyBorder="1"/>
    <xf numFmtId="44" fontId="8" fillId="7" borderId="1" xfId="1" applyFont="1" applyFill="1" applyBorder="1" applyAlignment="1"/>
    <xf numFmtId="44" fontId="8" fillId="7" borderId="1" xfId="1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4" fillId="8" borderId="0" xfId="0" applyFont="1" applyFill="1" applyAlignment="1">
      <alignment horizontal="center" vertical="top" wrapText="1" readingOrder="1"/>
    </xf>
    <xf numFmtId="0" fontId="4" fillId="9" borderId="0" xfId="0" applyFont="1" applyFill="1" applyAlignment="1">
      <alignment horizontal="center" vertical="top" wrapText="1" readingOrder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BEBEB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2"/>
  <sheetViews>
    <sheetView showGridLines="0" tabSelected="1" workbookViewId="0">
      <pane ySplit="6" topLeftCell="A19" activePane="bottomLeft" state="frozen"/>
      <selection pane="bottomLeft" activeCell="M28" sqref="M28"/>
    </sheetView>
  </sheetViews>
  <sheetFormatPr baseColWidth="10" defaultRowHeight="15" x14ac:dyDescent="0.25"/>
  <cols>
    <col min="1" max="1" width="11.7109375" customWidth="1"/>
    <col min="2" max="2" width="13" bestFit="1" customWidth="1"/>
    <col min="3" max="3" width="13.85546875" style="20" bestFit="1" customWidth="1"/>
    <col min="4" max="4" width="9.85546875" style="20" bestFit="1" customWidth="1"/>
    <col min="5" max="5" width="9.42578125" customWidth="1"/>
    <col min="6" max="6" width="9.7109375" customWidth="1"/>
    <col min="7" max="7" width="9.28515625" bestFit="1" customWidth="1"/>
    <col min="8" max="8" width="8.140625" bestFit="1" customWidth="1"/>
    <col min="9" max="9" width="9.28515625" customWidth="1"/>
    <col min="10" max="10" width="13.7109375" customWidth="1"/>
    <col min="11" max="11" width="11.7109375" customWidth="1"/>
  </cols>
  <sheetData>
    <row r="2" spans="1:11" ht="2.1" customHeight="1" x14ac:dyDescent="0.25">
      <c r="A2" s="12" t="s">
        <v>0</v>
      </c>
      <c r="B2" s="13"/>
      <c r="C2" s="13"/>
      <c r="D2" s="13"/>
      <c r="E2" s="13"/>
      <c r="F2" s="13"/>
      <c r="J2" s="14"/>
      <c r="K2" s="14"/>
    </row>
    <row r="3" spans="1:11" ht="2.1" customHeight="1" x14ac:dyDescent="0.25">
      <c r="A3" s="12"/>
      <c r="B3" s="13"/>
      <c r="C3" s="13"/>
      <c r="D3" s="13"/>
      <c r="E3" s="13"/>
      <c r="F3" s="13"/>
      <c r="J3" s="1"/>
      <c r="K3" s="1"/>
    </row>
    <row r="4" spans="1:11" ht="11.1" customHeight="1" x14ac:dyDescent="0.25">
      <c r="A4" s="13"/>
      <c r="B4" s="13"/>
      <c r="C4" s="13"/>
      <c r="D4" s="13"/>
      <c r="E4" s="13"/>
      <c r="F4" s="13"/>
      <c r="J4" s="13"/>
      <c r="K4" s="13"/>
    </row>
    <row r="5" spans="1:11" ht="3.75" customHeight="1" x14ac:dyDescent="0.25">
      <c r="A5" s="13"/>
      <c r="B5" s="13"/>
      <c r="C5" s="13"/>
      <c r="D5" s="13"/>
      <c r="E5" s="13"/>
      <c r="F5" s="13"/>
      <c r="J5" s="13"/>
      <c r="K5" s="13"/>
    </row>
    <row r="6" spans="1:11" ht="15.75" customHeight="1" x14ac:dyDescent="0.25">
      <c r="A6" s="15" t="s">
        <v>2</v>
      </c>
      <c r="B6" s="13"/>
      <c r="C6" s="13"/>
      <c r="D6" s="13"/>
      <c r="E6" s="13"/>
      <c r="F6" s="13"/>
      <c r="J6" s="13"/>
      <c r="K6" s="13"/>
    </row>
    <row r="7" spans="1:11" ht="22.5" x14ac:dyDescent="0.25">
      <c r="A7" s="3" t="s">
        <v>3</v>
      </c>
      <c r="B7" s="2" t="s">
        <v>4</v>
      </c>
      <c r="C7" s="17" t="s">
        <v>57</v>
      </c>
      <c r="D7" s="17" t="s">
        <v>5</v>
      </c>
      <c r="E7" s="4" t="s">
        <v>6</v>
      </c>
      <c r="F7" s="4" t="s">
        <v>7</v>
      </c>
      <c r="G7" s="4" t="s">
        <v>8</v>
      </c>
      <c r="H7" s="4" t="s">
        <v>9</v>
      </c>
      <c r="I7" s="21" t="s">
        <v>10</v>
      </c>
      <c r="J7" s="21" t="s">
        <v>11</v>
      </c>
      <c r="K7" s="21" t="s">
        <v>55</v>
      </c>
    </row>
    <row r="8" spans="1:11" x14ac:dyDescent="0.25">
      <c r="A8" s="16" t="s">
        <v>12</v>
      </c>
      <c r="B8" s="13"/>
      <c r="C8" s="13"/>
      <c r="D8" s="13"/>
      <c r="E8" s="16"/>
      <c r="F8" s="13"/>
      <c r="G8" s="16"/>
      <c r="H8" s="13"/>
      <c r="I8" s="13"/>
      <c r="J8" s="5" t="s">
        <v>1</v>
      </c>
      <c r="K8" s="5" t="s">
        <v>1</v>
      </c>
    </row>
    <row r="9" spans="1:11" x14ac:dyDescent="0.25">
      <c r="A9" s="6" t="s">
        <v>13</v>
      </c>
      <c r="B9" s="7" t="s">
        <v>14</v>
      </c>
      <c r="C9" s="33" t="s">
        <v>15</v>
      </c>
      <c r="D9" s="33" t="s">
        <v>16</v>
      </c>
      <c r="E9" s="8">
        <v>7791.76</v>
      </c>
      <c r="F9" s="8">
        <v>7385.24</v>
      </c>
      <c r="G9" s="8">
        <v>0</v>
      </c>
      <c r="H9" s="8">
        <v>0</v>
      </c>
      <c r="I9" s="8">
        <v>0</v>
      </c>
      <c r="J9" s="8">
        <v>0</v>
      </c>
      <c r="K9" s="22">
        <v>7385.24</v>
      </c>
    </row>
    <row r="10" spans="1:11" x14ac:dyDescent="0.25">
      <c r="A10" s="9" t="s">
        <v>13</v>
      </c>
      <c r="B10" s="10" t="s">
        <v>14</v>
      </c>
      <c r="C10" s="34" t="s">
        <v>17</v>
      </c>
      <c r="D10" s="34" t="s">
        <v>16</v>
      </c>
      <c r="E10" s="11">
        <v>8122.37</v>
      </c>
      <c r="F10" s="11">
        <v>7698.59</v>
      </c>
      <c r="G10" s="11">
        <v>0</v>
      </c>
      <c r="H10" s="11">
        <v>0</v>
      </c>
      <c r="I10" s="11">
        <v>0</v>
      </c>
      <c r="J10" s="11">
        <v>0</v>
      </c>
      <c r="K10" s="23">
        <v>7698.59</v>
      </c>
    </row>
    <row r="11" spans="1:11" x14ac:dyDescent="0.25">
      <c r="A11" s="6" t="s">
        <v>13</v>
      </c>
      <c r="B11" s="7" t="s">
        <v>14</v>
      </c>
      <c r="C11" s="33" t="s">
        <v>18</v>
      </c>
      <c r="D11" s="33" t="s">
        <v>16</v>
      </c>
      <c r="E11" s="8">
        <v>6993.52</v>
      </c>
      <c r="F11" s="8">
        <v>6628.64</v>
      </c>
      <c r="G11" s="8">
        <v>0</v>
      </c>
      <c r="H11" s="8">
        <v>0</v>
      </c>
      <c r="I11" s="8">
        <v>0</v>
      </c>
      <c r="J11" s="8">
        <v>0</v>
      </c>
      <c r="K11" s="22">
        <v>6628.64</v>
      </c>
    </row>
    <row r="12" spans="1:11" x14ac:dyDescent="0.25">
      <c r="A12" s="9" t="s">
        <v>19</v>
      </c>
      <c r="B12" s="10" t="s">
        <v>14</v>
      </c>
      <c r="C12" s="34" t="s">
        <v>20</v>
      </c>
      <c r="D12" s="34" t="s">
        <v>21</v>
      </c>
      <c r="E12" s="11">
        <v>6502.07</v>
      </c>
      <c r="F12" s="11">
        <v>6162.83</v>
      </c>
      <c r="G12" s="11">
        <v>0</v>
      </c>
      <c r="H12" s="11">
        <v>0</v>
      </c>
      <c r="I12" s="11">
        <v>0</v>
      </c>
      <c r="J12" s="11">
        <v>0</v>
      </c>
      <c r="K12" s="23">
        <v>6162.83</v>
      </c>
    </row>
    <row r="13" spans="1:11" x14ac:dyDescent="0.25">
      <c r="A13" s="6" t="s">
        <v>19</v>
      </c>
      <c r="B13" s="7" t="s">
        <v>14</v>
      </c>
      <c r="C13" s="33" t="s">
        <v>22</v>
      </c>
      <c r="D13" s="33" t="s">
        <v>21</v>
      </c>
      <c r="E13" s="8">
        <v>6004.66</v>
      </c>
      <c r="F13" s="8">
        <v>5691.38</v>
      </c>
      <c r="G13" s="8">
        <v>0</v>
      </c>
      <c r="H13" s="8">
        <v>0</v>
      </c>
      <c r="I13" s="8">
        <v>0</v>
      </c>
      <c r="J13" s="8">
        <v>0</v>
      </c>
      <c r="K13" s="22">
        <v>5691.38</v>
      </c>
    </row>
    <row r="14" spans="1:11" x14ac:dyDescent="0.25">
      <c r="A14" s="9" t="s">
        <v>23</v>
      </c>
      <c r="B14" s="10" t="s">
        <v>14</v>
      </c>
      <c r="C14" s="34" t="s">
        <v>24</v>
      </c>
      <c r="D14" s="34" t="s">
        <v>25</v>
      </c>
      <c r="E14" s="11">
        <v>8024.08</v>
      </c>
      <c r="F14" s="11">
        <v>7605.44</v>
      </c>
      <c r="G14" s="11">
        <v>0</v>
      </c>
      <c r="H14" s="11">
        <v>0</v>
      </c>
      <c r="I14" s="11">
        <v>0</v>
      </c>
      <c r="J14" s="23">
        <v>7605.44</v>
      </c>
      <c r="K14" s="11">
        <v>0</v>
      </c>
    </row>
    <row r="15" spans="1:11" x14ac:dyDescent="0.25">
      <c r="A15" s="6" t="s">
        <v>23</v>
      </c>
      <c r="B15" s="7" t="s">
        <v>14</v>
      </c>
      <c r="C15" s="33" t="s">
        <v>26</v>
      </c>
      <c r="D15" s="33" t="s">
        <v>25</v>
      </c>
      <c r="E15" s="8">
        <v>7508.8</v>
      </c>
      <c r="F15" s="8">
        <v>7117.04</v>
      </c>
      <c r="G15" s="8">
        <v>0</v>
      </c>
      <c r="H15" s="8">
        <v>0</v>
      </c>
      <c r="I15" s="8">
        <v>0</v>
      </c>
      <c r="J15" s="22">
        <v>7117.04</v>
      </c>
      <c r="K15" s="8">
        <v>0</v>
      </c>
    </row>
    <row r="16" spans="1:11" x14ac:dyDescent="0.25">
      <c r="A16" s="9" t="s">
        <v>23</v>
      </c>
      <c r="B16" s="10" t="s">
        <v>14</v>
      </c>
      <c r="C16" s="34" t="s">
        <v>27</v>
      </c>
      <c r="D16" s="34" t="s">
        <v>25</v>
      </c>
      <c r="E16" s="11">
        <v>7910.9</v>
      </c>
      <c r="F16" s="11">
        <v>7498.16</v>
      </c>
      <c r="G16" s="11">
        <v>0</v>
      </c>
      <c r="H16" s="11">
        <v>0</v>
      </c>
      <c r="I16" s="11">
        <v>0</v>
      </c>
      <c r="J16" s="23">
        <v>7498.16</v>
      </c>
      <c r="K16" s="11">
        <v>0</v>
      </c>
    </row>
    <row r="17" spans="1:11" x14ac:dyDescent="0.25">
      <c r="A17" s="6" t="s">
        <v>28</v>
      </c>
      <c r="B17" s="7" t="s">
        <v>14</v>
      </c>
      <c r="C17" s="33" t="s">
        <v>29</v>
      </c>
      <c r="D17" s="33" t="s">
        <v>30</v>
      </c>
      <c r="E17" s="8">
        <v>7508.8</v>
      </c>
      <c r="F17" s="8">
        <v>7117.04</v>
      </c>
      <c r="G17" s="8">
        <v>0</v>
      </c>
      <c r="H17" s="8">
        <v>0</v>
      </c>
      <c r="I17" s="22">
        <v>7117.04</v>
      </c>
      <c r="J17" s="8">
        <v>0</v>
      </c>
      <c r="K17" s="8">
        <v>0</v>
      </c>
    </row>
    <row r="18" spans="1:11" x14ac:dyDescent="0.25">
      <c r="A18" s="9" t="s">
        <v>28</v>
      </c>
      <c r="B18" s="10" t="s">
        <v>14</v>
      </c>
      <c r="C18" s="34" t="s">
        <v>31</v>
      </c>
      <c r="D18" s="34" t="s">
        <v>30</v>
      </c>
      <c r="E18" s="11">
        <v>7705.38</v>
      </c>
      <c r="F18" s="11">
        <v>7303.36</v>
      </c>
      <c r="G18" s="11">
        <v>0</v>
      </c>
      <c r="H18" s="11">
        <v>0</v>
      </c>
      <c r="I18" s="23">
        <v>7303.36</v>
      </c>
      <c r="J18" s="11">
        <v>0</v>
      </c>
      <c r="K18" s="11">
        <v>0</v>
      </c>
    </row>
    <row r="19" spans="1:11" x14ac:dyDescent="0.25">
      <c r="A19" s="6" t="s">
        <v>32</v>
      </c>
      <c r="B19" s="7" t="s">
        <v>14</v>
      </c>
      <c r="C19" s="33" t="s">
        <v>33</v>
      </c>
      <c r="D19" s="33" t="s">
        <v>34</v>
      </c>
      <c r="E19" s="8">
        <v>7586.24</v>
      </c>
      <c r="F19" s="8">
        <v>7190.44</v>
      </c>
      <c r="G19" s="8">
        <v>0</v>
      </c>
      <c r="H19" s="8">
        <v>0</v>
      </c>
      <c r="I19" s="22">
        <v>7190.44</v>
      </c>
      <c r="J19" s="8">
        <v>0</v>
      </c>
      <c r="K19" s="8">
        <v>0</v>
      </c>
    </row>
    <row r="20" spans="1:11" x14ac:dyDescent="0.25">
      <c r="A20" s="9" t="s">
        <v>32</v>
      </c>
      <c r="B20" s="10" t="s">
        <v>14</v>
      </c>
      <c r="C20" s="34" t="s">
        <v>35</v>
      </c>
      <c r="D20" s="34" t="s">
        <v>34</v>
      </c>
      <c r="E20" s="11">
        <v>8083.65</v>
      </c>
      <c r="F20" s="11">
        <v>7661.89</v>
      </c>
      <c r="G20" s="11">
        <v>0</v>
      </c>
      <c r="H20" s="11">
        <v>0</v>
      </c>
      <c r="I20" s="23">
        <v>7661.89</v>
      </c>
      <c r="J20" s="11">
        <v>0</v>
      </c>
      <c r="K20" s="11">
        <v>0</v>
      </c>
    </row>
    <row r="21" spans="1:11" x14ac:dyDescent="0.25">
      <c r="A21" s="6" t="s">
        <v>32</v>
      </c>
      <c r="B21" s="7" t="s">
        <v>14</v>
      </c>
      <c r="C21" s="33" t="s">
        <v>36</v>
      </c>
      <c r="D21" s="33" t="s">
        <v>34</v>
      </c>
      <c r="E21" s="8">
        <v>7815.58</v>
      </c>
      <c r="F21" s="8">
        <v>7407.82</v>
      </c>
      <c r="G21" s="8">
        <v>0</v>
      </c>
      <c r="H21" s="8">
        <v>0</v>
      </c>
      <c r="I21" s="22">
        <v>7407.82</v>
      </c>
      <c r="J21" s="8">
        <v>0</v>
      </c>
      <c r="K21" s="8">
        <v>0</v>
      </c>
    </row>
    <row r="22" spans="1:11" x14ac:dyDescent="0.25">
      <c r="A22" s="9" t="s">
        <v>37</v>
      </c>
      <c r="B22" s="10" t="s">
        <v>14</v>
      </c>
      <c r="C22" s="19" t="s">
        <v>38</v>
      </c>
      <c r="D22" s="19" t="s">
        <v>39</v>
      </c>
      <c r="E22" s="11">
        <v>7955.57</v>
      </c>
      <c r="F22" s="11">
        <v>7540.49</v>
      </c>
      <c r="G22" s="11">
        <v>7540.49</v>
      </c>
      <c r="H22" s="11">
        <v>0</v>
      </c>
      <c r="I22" s="11">
        <v>0</v>
      </c>
      <c r="J22" s="11">
        <v>0</v>
      </c>
      <c r="K22" s="11">
        <v>0</v>
      </c>
    </row>
    <row r="23" spans="1:11" x14ac:dyDescent="0.25">
      <c r="A23" s="6" t="s">
        <v>37</v>
      </c>
      <c r="B23" s="7" t="s">
        <v>14</v>
      </c>
      <c r="C23" s="18" t="s">
        <v>40</v>
      </c>
      <c r="D23" s="18" t="s">
        <v>39</v>
      </c>
      <c r="E23" s="8">
        <v>7115.64</v>
      </c>
      <c r="F23" s="8">
        <v>6744.38</v>
      </c>
      <c r="G23" s="8">
        <v>6744.38</v>
      </c>
      <c r="H23" s="8">
        <v>0</v>
      </c>
      <c r="I23" s="8">
        <v>0</v>
      </c>
      <c r="J23" s="8">
        <v>0</v>
      </c>
      <c r="K23" s="8">
        <v>0</v>
      </c>
    </row>
    <row r="24" spans="1:11" x14ac:dyDescent="0.25">
      <c r="A24" s="9" t="s">
        <v>37</v>
      </c>
      <c r="B24" s="10" t="s">
        <v>14</v>
      </c>
      <c r="C24" s="19" t="s">
        <v>41</v>
      </c>
      <c r="D24" s="19" t="s">
        <v>39</v>
      </c>
      <c r="E24" s="11">
        <v>7720.27</v>
      </c>
      <c r="F24" s="11">
        <v>7317.47</v>
      </c>
      <c r="G24" s="11">
        <v>7317.47</v>
      </c>
      <c r="H24" s="11">
        <v>0</v>
      </c>
      <c r="I24" s="11">
        <v>0</v>
      </c>
      <c r="J24" s="11">
        <v>0</v>
      </c>
      <c r="K24" s="11">
        <v>0</v>
      </c>
    </row>
    <row r="25" spans="1:11" x14ac:dyDescent="0.25">
      <c r="A25" s="6" t="s">
        <v>37</v>
      </c>
      <c r="B25" s="7" t="s">
        <v>14</v>
      </c>
      <c r="C25" s="18" t="s">
        <v>42</v>
      </c>
      <c r="D25" s="18" t="s">
        <v>39</v>
      </c>
      <c r="E25" s="8">
        <v>7559.43</v>
      </c>
      <c r="F25" s="8">
        <v>7165.03</v>
      </c>
      <c r="G25" s="8">
        <v>7165.03</v>
      </c>
      <c r="H25" s="8">
        <v>0</v>
      </c>
      <c r="I25" s="8">
        <v>0</v>
      </c>
      <c r="J25" s="8">
        <v>0</v>
      </c>
      <c r="K25" s="8">
        <v>0</v>
      </c>
    </row>
    <row r="26" spans="1:11" x14ac:dyDescent="0.25">
      <c r="A26" s="9" t="s">
        <v>37</v>
      </c>
      <c r="B26" s="10" t="s">
        <v>14</v>
      </c>
      <c r="C26" s="19" t="s">
        <v>43</v>
      </c>
      <c r="D26" s="19" t="s">
        <v>39</v>
      </c>
      <c r="E26" s="11">
        <v>7157.34</v>
      </c>
      <c r="F26" s="11">
        <v>6783.92</v>
      </c>
      <c r="G26" s="11">
        <v>6783.92</v>
      </c>
      <c r="H26" s="11">
        <v>0</v>
      </c>
      <c r="I26" s="11">
        <v>0</v>
      </c>
      <c r="J26" s="11">
        <v>0</v>
      </c>
      <c r="K26" s="11">
        <v>0</v>
      </c>
    </row>
    <row r="27" spans="1:11" x14ac:dyDescent="0.25">
      <c r="A27" s="6" t="s">
        <v>37</v>
      </c>
      <c r="B27" s="7" t="s">
        <v>14</v>
      </c>
      <c r="C27" s="18" t="s">
        <v>44</v>
      </c>
      <c r="D27" s="18" t="s">
        <v>39</v>
      </c>
      <c r="E27" s="8">
        <v>7479.01</v>
      </c>
      <c r="F27" s="8">
        <v>7088.81</v>
      </c>
      <c r="G27" s="8">
        <v>7088.81</v>
      </c>
      <c r="H27" s="8">
        <v>0</v>
      </c>
      <c r="I27" s="8">
        <v>0</v>
      </c>
      <c r="J27" s="8">
        <v>0</v>
      </c>
      <c r="K27" s="8">
        <v>0</v>
      </c>
    </row>
    <row r="28" spans="1:11" x14ac:dyDescent="0.25">
      <c r="A28" s="9" t="s">
        <v>45</v>
      </c>
      <c r="B28" s="10" t="s">
        <v>14</v>
      </c>
      <c r="C28" s="19" t="s">
        <v>46</v>
      </c>
      <c r="D28" s="19" t="s">
        <v>47</v>
      </c>
      <c r="E28" s="11">
        <v>7678.57</v>
      </c>
      <c r="F28" s="11">
        <v>7678.57</v>
      </c>
      <c r="G28" s="11">
        <v>7678.57</v>
      </c>
      <c r="H28" s="11">
        <v>0</v>
      </c>
      <c r="I28" s="11">
        <v>0</v>
      </c>
      <c r="J28" s="11">
        <v>0</v>
      </c>
      <c r="K28" s="11">
        <v>0</v>
      </c>
    </row>
    <row r="29" spans="1:11" x14ac:dyDescent="0.25">
      <c r="A29" s="6" t="s">
        <v>48</v>
      </c>
      <c r="B29" s="7" t="s">
        <v>14</v>
      </c>
      <c r="C29" s="18" t="s">
        <v>49</v>
      </c>
      <c r="D29" s="18" t="s">
        <v>50</v>
      </c>
      <c r="E29" s="8">
        <v>7461.14</v>
      </c>
      <c r="F29" s="8">
        <v>7461.14</v>
      </c>
      <c r="G29" s="8">
        <v>7461.14</v>
      </c>
      <c r="H29" s="8">
        <v>0</v>
      </c>
      <c r="I29" s="8">
        <v>0</v>
      </c>
      <c r="J29" s="8">
        <v>0</v>
      </c>
      <c r="K29" s="8">
        <v>0</v>
      </c>
    </row>
    <row r="30" spans="1:11" x14ac:dyDescent="0.25">
      <c r="A30" s="9" t="s">
        <v>51</v>
      </c>
      <c r="B30" s="10" t="s">
        <v>14</v>
      </c>
      <c r="C30" s="19" t="s">
        <v>52</v>
      </c>
      <c r="D30" s="19" t="s">
        <v>53</v>
      </c>
      <c r="E30" s="11">
        <v>7145.42</v>
      </c>
      <c r="F30" s="11">
        <v>7145.42</v>
      </c>
      <c r="G30" s="11">
        <v>7145.42</v>
      </c>
      <c r="H30" s="11">
        <v>0</v>
      </c>
      <c r="I30" s="11">
        <v>0</v>
      </c>
      <c r="J30" s="11">
        <v>0</v>
      </c>
      <c r="K30" s="11">
        <v>0</v>
      </c>
    </row>
    <row r="31" spans="1:11" ht="15.75" customHeight="1" x14ac:dyDescent="0.25">
      <c r="A31" s="24" t="s">
        <v>54</v>
      </c>
      <c r="B31" s="25"/>
      <c r="C31" s="25"/>
      <c r="D31" s="25"/>
      <c r="E31" s="25"/>
      <c r="F31" s="26">
        <v>157393.1</v>
      </c>
      <c r="G31" s="26">
        <v>64925.23</v>
      </c>
      <c r="H31" s="26">
        <v>0</v>
      </c>
      <c r="I31" s="27">
        <v>36680.550000000003</v>
      </c>
      <c r="J31" s="27">
        <v>22220.639999999999</v>
      </c>
      <c r="K31" s="27">
        <v>33566.68</v>
      </c>
    </row>
    <row r="32" spans="1:11" ht="15.75" x14ac:dyDescent="0.25">
      <c r="A32" s="28" t="s">
        <v>56</v>
      </c>
      <c r="B32" s="28"/>
      <c r="C32" s="32"/>
      <c r="D32" s="29"/>
      <c r="E32" s="30"/>
      <c r="F32" s="30"/>
      <c r="G32" s="29"/>
      <c r="H32" s="29"/>
      <c r="I32" s="31">
        <f>I31+J31+K31</f>
        <v>92467.87</v>
      </c>
      <c r="J32" s="31"/>
      <c r="K32" s="29"/>
    </row>
  </sheetData>
  <mergeCells count="10">
    <mergeCell ref="A31:E31"/>
    <mergeCell ref="I32:J32"/>
    <mergeCell ref="A8:D8"/>
    <mergeCell ref="E8:F8"/>
    <mergeCell ref="G8:I8"/>
    <mergeCell ref="A2:F5"/>
    <mergeCell ref="J2:K2"/>
    <mergeCell ref="J4:K4"/>
    <mergeCell ref="J5:K6"/>
    <mergeCell ref="A6:F6"/>
  </mergeCells>
  <pageMargins left="0.59055118110236204" right="0.39370078740157499" top="0.39370078740157499" bottom="0.39370078740157499" header="0.39370078740157499" footer="0.39370078740157499"/>
  <pageSetup paperSize="9" orientation="landscape" horizontalDpi="300" verticalDpi="300"/>
  <headerFooter alignWithMargins="0"/>
  <ignoredErrors>
    <ignoredError sqref="A9:A30 D9:D30" twoDigitTextYear="1"/>
    <ignoredError sqref="C9:C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Productora Cartonera </vt:lpstr>
      <vt:lpstr>'Productora Cartonera '!Títulos_a_imprimir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Cobranzas</dc:creator>
  <cp:lastModifiedBy>Usuario de Windows</cp:lastModifiedBy>
  <dcterms:created xsi:type="dcterms:W3CDTF">2026-09-21T17:37:13Z</dcterms:created>
  <dcterms:modified xsi:type="dcterms:W3CDTF">2026-09-21T17:37:13Z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